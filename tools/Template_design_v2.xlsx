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Quote Calculator" sheetId="1" state="visible" r:id="rId3"/>
    <sheet name="Sea Import" sheetId="2" state="visible" r:id="rId4"/>
    <sheet name="Sea Export" sheetId="3" state="visible" r:id="rId5"/>
    <sheet name="Air Import" sheetId="4" state="visible" r:id="rId6"/>
    <sheet name="Air Export" sheetId="5" state="visible" r:id="rId7"/>
    <sheet name="Land Transport" sheetId="6" state="visible" r:id="rId8"/>
    <sheet name="Emirates &amp; Truck Matrix" sheetId="7" state="visible" r:id="rId9"/>
    <sheet name="Warehousing Rates" sheetId="8" state="visible" r:id="rId10"/>
    <sheet name="Add-ons (proposed)" sheetId="9" state="visible" r:id="rId11"/>
    <sheet name="App Guide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<sst xmlns="http://schemas.openxmlformats.org/spreadsheetml/2006/main" count="2510" uniqueCount="589">
  <si>
    <t xml:space="preserve">DYNAMIC FREIGHT &amp; LOGISTICS QUOTATION CALCULATOR</t>
  </si>
  <si>
    <t xml:space="preserve">1. SHIPMENT &amp; CLIENT HEADER DETAILS</t>
  </si>
  <si>
    <t xml:space="preserve">Quotation Ref:</t>
  </si>
  <si>
    <t xml:space="preserve">SAS-2026-QT-1042</t>
  </si>
  <si>
    <t xml:space="preserve">Date:</t>
  </si>
  <si>
    <t xml:space="preserve">2026-10-21</t>
  </si>
  <si>
    <t xml:space="preserve">Customer Name:</t>
  </si>
  <si>
    <t xml:space="preserve">XH Supply Chain / Sample Client</t>
  </si>
  <si>
    <t xml:space="preserve">Mode of Freight:</t>
  </si>
  <si>
    <t xml:space="preserve">Sea Import</t>
  </si>
  <si>
    <t xml:space="preserve">Incoterm:</t>
  </si>
  <si>
    <t xml:space="preserve">EXW</t>
  </si>
  <si>
    <t xml:space="preserve">Port of Loading (POL):</t>
  </si>
  <si>
    <t xml:space="preserve">Qingdao, China</t>
  </si>
  <si>
    <t xml:space="preserve">Port of Discharge (POD):</t>
  </si>
  <si>
    <t xml:space="preserve">Jebel Ali, Dubai</t>
  </si>
  <si>
    <t xml:space="preserve">Cargo Type / Size:</t>
  </si>
  <si>
    <t xml:space="preserve">1x40' HC Container</t>
  </si>
  <si>
    <t xml:space="preserve">Commodity:</t>
  </si>
  <si>
    <t xml:space="preserve">General Goods / Foodstuff</t>
  </si>
  <si>
    <t xml:space="preserve">Gross Weight / CBM:</t>
  </si>
  <si>
    <t xml:space="preserve">24,000 KG / 42 CBM</t>
  </si>
  <si>
    <t xml:space="preserve">2. ITEMISED QUOTATION BREAKDOWN (STRUCTURED BY 6 LOGISTICS COST PILLARS)</t>
  </si>
  <si>
    <t xml:space="preserve">Pillar / Cost Category</t>
  </si>
  <si>
    <t xml:space="preserve">Cost Description / Service Item</t>
  </si>
  <si>
    <t xml:space="preserve">Base Rate</t>
  </si>
  <si>
    <t xml:space="preserve">Qty / Basis</t>
  </si>
  <si>
    <t xml:space="preserve">Subtotal Cost</t>
  </si>
  <si>
    <t xml:space="preserve">Margin %</t>
  </si>
  <si>
    <t xml:space="preserve">Quoted Price to Client</t>
  </si>
  <si>
    <t xml:space="preserve">Origin Charges</t>
  </si>
  <si>
    <t xml:space="preserve">EXW Pickup, Port Handling &amp; Export Clearance</t>
  </si>
  <si>
    <t xml:space="preserve">Origin BL issuance &amp; Documentation</t>
  </si>
  <si>
    <t xml:space="preserve">Freight Charges</t>
  </si>
  <si>
    <t xml:space="preserve">Main Ocean Freight (Qingdao to Jebel Ali)</t>
  </si>
  <si>
    <t xml:space="preserve">Bunker Surcharge (BAF)</t>
  </si>
  <si>
    <t xml:space="preserve">Destination Charges</t>
  </si>
  <si>
    <t xml:space="preserve">Jebel Ali THC &amp; Terminal Charges</t>
  </si>
  <si>
    <t xml:space="preserve">Delivery Order (DO) &amp; Handling Fee</t>
  </si>
  <si>
    <t xml:space="preserve">Customs Charges</t>
  </si>
  <si>
    <t xml:space="preserve">UAE Import Customs Clearance &amp; Inspection</t>
  </si>
  <si>
    <t xml:space="preserve">Delivery Charges</t>
  </si>
  <si>
    <t xml:space="preserve">Local Container Transport (Jebel Ali to Warehouse)</t>
  </si>
  <si>
    <t xml:space="preserve">Insurance Charges</t>
  </si>
  <si>
    <t xml:space="preserve">Marine All Risks Cargo Insurance</t>
  </si>
  <si>
    <t xml:space="preserve">TOTAL QUOTATION SUMMARY</t>
  </si>
  <si>
    <t xml:space="preserve">SEA IMPORT PRICING TEMPLATE (EXW, FOB, CIF)</t>
  </si>
  <si>
    <t xml:space="preserve">Columns H to Q control how the quote app uses each line. See the 'App Guide' sheet.</t>
  </si>
  <si>
    <t xml:space="preserve">Covers Sea Freight Imports into UAE via Jebel Ali / Khorfakkan</t>
  </si>
  <si>
    <t xml:space="preserve">SECTION: ORIGIN CHARGES</t>
  </si>
  <si>
    <t xml:space="preserve">Cost Item ID</t>
  </si>
  <si>
    <t xml:space="preserve">Cost Description</t>
  </si>
  <si>
    <t xml:space="preserve">Cost Category</t>
  </si>
  <si>
    <t xml:space="preserve">Basis / Unit</t>
  </si>
  <si>
    <t xml:space="preserve">Currency</t>
  </si>
  <si>
    <t xml:space="preserve">Base Cost Rate</t>
  </si>
  <si>
    <t xml:space="preserve">Remarks / Notes</t>
  </si>
  <si>
    <t xml:space="preserve">Direction</t>
  </si>
  <si>
    <t xml:space="preserve">Load Type</t>
  </si>
  <si>
    <t xml:space="preserve">Cargo Nature</t>
  </si>
  <si>
    <t xml:space="preserve">Cargo Type</t>
  </si>
  <si>
    <t xml:space="preserve">Incoterms</t>
  </si>
  <si>
    <t xml:space="preserve">Default On</t>
  </si>
  <si>
    <t xml:space="preserve">VAT Applies</t>
  </si>
  <si>
    <t xml:space="preserve">Rate Control</t>
  </si>
  <si>
    <t xml:space="preserve">Default Qty</t>
  </si>
  <si>
    <t xml:space="preserve">SI-ORG-01</t>
  </si>
  <si>
    <t xml:space="preserve">EXW Pickup / Inland Haulage</t>
  </si>
  <si>
    <t xml:space="preserve">Per Container</t>
  </si>
  <si>
    <t xml:space="preserve">USD</t>
  </si>
  <si>
    <t xml:space="preserve">Factory to POL</t>
  </si>
  <si>
    <t xml:space="preserve">Import</t>
  </si>
  <si>
    <t xml:space="preserve">FCL</t>
  </si>
  <si>
    <t xml:space="preserve">ALL</t>
  </si>
  <si>
    <t xml:space="preserve">Y</t>
  </si>
  <si>
    <t xml:space="preserve">Editable</t>
  </si>
  <si>
    <t xml:space="preserve">SI-ORG-02</t>
  </si>
  <si>
    <t xml:space="preserve">Origin Terminal Handling (THC)</t>
  </si>
  <si>
    <t xml:space="preserve">Port of Loading THC</t>
  </si>
  <si>
    <t xml:space="preserve">Auto</t>
  </si>
  <si>
    <t xml:space="preserve">SI-ORG-03</t>
  </si>
  <si>
    <t xml:space="preserve">Export Customs Clearance &amp; Docs</t>
  </si>
  <si>
    <t xml:space="preserve">Per Shipment</t>
  </si>
  <si>
    <t xml:space="preserve">Export declaration</t>
  </si>
  <si>
    <t xml:space="preserve">SI-ORG-04</t>
  </si>
  <si>
    <t xml:space="preserve">FOB Documentation &amp; Telex Release</t>
  </si>
  <si>
    <t xml:space="preserve">Per Bill of Lading</t>
  </si>
  <si>
    <t xml:space="preserve">BL issuance fee</t>
  </si>
  <si>
    <t xml:space="preserve">FOB</t>
  </si>
  <si>
    <t xml:space="preserve">SECTION: FREIGHT CHARGES</t>
  </si>
  <si>
    <t xml:space="preserve">SI-FRT-01</t>
  </si>
  <si>
    <t xml:space="preserve">Ocean Freight per Container(for fcl)/Per Cbm(for LCL)</t>
  </si>
  <si>
    <t xml:space="preserve">Base ocean freight</t>
  </si>
  <si>
    <t xml:space="preserve">SI-FRT-03</t>
  </si>
  <si>
    <t xml:space="preserve">Bunker Adjustment Factor (BAF)</t>
  </si>
  <si>
    <t xml:space="preserve">Fuel surcharge</t>
  </si>
  <si>
    <t xml:space="preserve">N</t>
  </si>
  <si>
    <t xml:space="preserve">SI-FRT-04</t>
  </si>
  <si>
    <t xml:space="preserve">Peak Season / War Risk Surcharge</t>
  </si>
  <si>
    <t xml:space="preserve">Regional surcharges</t>
  </si>
  <si>
    <t xml:space="preserve">SECTION: DESTINATION CHARGES</t>
  </si>
  <si>
    <t xml:space="preserve">SI-DST-01</t>
  </si>
  <si>
    <t xml:space="preserve">Destination Terminal Handling (THC)</t>
  </si>
  <si>
    <t xml:space="preserve">AED</t>
  </si>
  <si>
    <t xml:space="preserve">Jebel Ali / POD THC</t>
  </si>
  <si>
    <t xml:space="preserve">SI-DST-02</t>
  </si>
  <si>
    <t xml:space="preserve">Delivery Order (DO) Fee</t>
  </si>
  <si>
    <t xml:space="preserve">Shipping line DO</t>
  </si>
  <si>
    <t xml:space="preserve">SI-DST-03</t>
  </si>
  <si>
    <t xml:space="preserve">DPC</t>
  </si>
  <si>
    <t xml:space="preserve">Yard drop-off</t>
  </si>
  <si>
    <t xml:space="preserve">SI-DST-04</t>
  </si>
  <si>
    <t xml:space="preserve">TLUC</t>
  </si>
  <si>
    <t xml:space="preserve">SI-DST-05</t>
  </si>
  <si>
    <t xml:space="preserve">Port Storage / Demurrage Allowance</t>
  </si>
  <si>
    <t xml:space="preserve">Per Day</t>
  </si>
  <si>
    <t xml:space="preserve">After free time (14 days)</t>
  </si>
  <si>
    <t xml:space="preserve">SECTION: CUSTOMS CHARGES</t>
  </si>
  <si>
    <t xml:space="preserve">SI-CST-01</t>
  </si>
  <si>
    <t xml:space="preserve">UAE Import Customs Declaration</t>
  </si>
  <si>
    <t xml:space="preserve">Per Bill of Entry</t>
  </si>
  <si>
    <t xml:space="preserve">Mirsal II clearance</t>
  </si>
  <si>
    <t xml:space="preserve">SI-CST-02</t>
  </si>
  <si>
    <t xml:space="preserve">Customs Inspection Fee</t>
  </si>
  <si>
    <t xml:space="preserve">Port inspection bay</t>
  </si>
  <si>
    <t xml:space="preserve">SI-CST-03</t>
  </si>
  <si>
    <t xml:space="preserve">Customs Duty (Standard 5%)</t>
  </si>
  <si>
    <t xml:space="preserve">% of CIF Value</t>
  </si>
  <si>
    <t xml:space="preserve">Pass-through duty</t>
  </si>
  <si>
    <t xml:space="preserve">SI-CST-04</t>
  </si>
  <si>
    <t xml:space="preserve">VAT on Invoice</t>
  </si>
  <si>
    <t xml:space="preserve">5% of CIF Value</t>
  </si>
  <si>
    <t xml:space="preserve">SI-CST-05</t>
  </si>
  <si>
    <t xml:space="preserve">Dubai Municipality / Food Control Inspection</t>
  </si>
  <si>
    <t xml:space="preserve">Per Request / Permit</t>
  </si>
  <si>
    <t xml:space="preserve">Refrigerated</t>
  </si>
  <si>
    <t xml:space="preserve">SI-CST-06</t>
  </si>
  <si>
    <t xml:space="preserve">MOFAIC</t>
  </si>
  <si>
    <t xml:space="preserve">SI-CST-07</t>
  </si>
  <si>
    <t xml:space="preserve">Importer on Record</t>
  </si>
  <si>
    <t xml:space="preserve">SI-CST-08</t>
  </si>
  <si>
    <t xml:space="preserve">Ministry Approval</t>
  </si>
  <si>
    <t xml:space="preserve">SECTION: DELIVERY CHARGES</t>
  </si>
  <si>
    <t xml:space="preserve">SI-DEL-01</t>
  </si>
  <si>
    <t xml:space="preserve">Local Transport: Jebel Ali to Dubai Local Zone</t>
  </si>
  <si>
    <t xml:space="preserve">Per Trailer / Trip</t>
  </si>
  <si>
    <t xml:space="preserve">Standard 40ft trailer</t>
  </si>
  <si>
    <t xml:space="preserve">SI-DEL-02</t>
  </si>
  <si>
    <t xml:space="preserve">Local Transport: Jebel Ali to Abu Dhabi Zone</t>
  </si>
  <si>
    <t xml:space="preserve">Inter-emirate haulage</t>
  </si>
  <si>
    <t xml:space="preserve">SI-DEL-03</t>
  </si>
  <si>
    <t xml:space="preserve">Truck Detention / Waiting Charges</t>
  </si>
  <si>
    <t xml:space="preserve">After first 4 hours free</t>
  </si>
  <si>
    <t xml:space="preserve">SI-DEL-04</t>
  </si>
  <si>
    <t xml:space="preserve">Token Charges</t>
  </si>
  <si>
    <t xml:space="preserve">SECTION: INSURANCE CHARGES</t>
  </si>
  <si>
    <t xml:space="preserve">SI-INS-01</t>
  </si>
  <si>
    <t xml:space="preserve">Marine Cargo Insurance (All Risks)</t>
  </si>
  <si>
    <t xml:space="preserve">% of Invoice Value (CIF+10%)</t>
  </si>
  <si>
    <t xml:space="preserve">ICC (A) Clause coverage</t>
  </si>
  <si>
    <t xml:space="preserve">SEA EXPORT PRICING TEMPLATE (CFR, CIF, DDP, FCA)</t>
  </si>
  <si>
    <t xml:space="preserve">Covers Sea Freight Exports from UAE Outbound</t>
  </si>
  <si>
    <t xml:space="preserve">SE-ORG-01</t>
  </si>
  <si>
    <t xml:space="preserve">Export Pick-up &amp; Loading (Factory to Port)</t>
  </si>
  <si>
    <t xml:space="preserve">Per Trip / Container</t>
  </si>
  <si>
    <t xml:space="preserve">Dubai local pickup</t>
  </si>
  <si>
    <t xml:space="preserve">Export</t>
  </si>
  <si>
    <t xml:space="preserve">SE-ORG-02</t>
  </si>
  <si>
    <t xml:space="preserve">Origin Terminal Handling Charge (THC)</t>
  </si>
  <si>
    <t xml:space="preserve">Jebel Ali export THC</t>
  </si>
  <si>
    <t xml:space="preserve">SE-ORG-03</t>
  </si>
  <si>
    <t xml:space="preserve">Export Documentation &amp; Port Duty</t>
  </si>
  <si>
    <t xml:space="preserve">Customs export declaration</t>
  </si>
  <si>
    <t xml:space="preserve">SE-ORG-04</t>
  </si>
  <si>
    <t xml:space="preserve">Bill of Lading / Telex Release Fee</t>
  </si>
  <si>
    <t xml:space="preserve">Per BL</t>
  </si>
  <si>
    <t xml:space="preserve">Carrier BL fee</t>
  </si>
  <si>
    <t xml:space="preserve">SE-ORG-05</t>
  </si>
  <si>
    <t xml:space="preserve">SE-ORG-06</t>
  </si>
  <si>
    <t xml:space="preserve">SE-ORG-07</t>
  </si>
  <si>
    <t xml:space="preserve">VAT Refund</t>
  </si>
  <si>
    <t xml:space="preserve">SE-ORG-08</t>
  </si>
  <si>
    <t xml:space="preserve">VGM</t>
  </si>
  <si>
    <t xml:space="preserve">SE-FRT-01</t>
  </si>
  <si>
    <t xml:space="preserve">Ocean Freight - 20FT Standard Dry</t>
  </si>
  <si>
    <t xml:space="preserve">Per 20FT Container</t>
  </si>
  <si>
    <t xml:space="preserve">Dubai to POD</t>
  </si>
  <si>
    <t xml:space="preserve">SE-FRT-02</t>
  </si>
  <si>
    <t xml:space="preserve">Ocean Freight - 40HC High Cube</t>
  </si>
  <si>
    <t xml:space="preserve">Per 40HC Container</t>
  </si>
  <si>
    <t xml:space="preserve">SE-FRT-03</t>
  </si>
  <si>
    <t xml:space="preserve">IMO Dangerous Goods Surcharge</t>
  </si>
  <si>
    <t xml:space="preserve">If applicable</t>
  </si>
  <si>
    <t xml:space="preserve">Dangerous</t>
  </si>
  <si>
    <t xml:space="preserve">SE-DST-01</t>
  </si>
  <si>
    <t xml:space="preserve">Destination Port Charges &amp; THC</t>
  </si>
  <si>
    <t xml:space="preserve">DDP/CFR destination THC</t>
  </si>
  <si>
    <t xml:space="preserve">DDP,CFR</t>
  </si>
  <si>
    <t xml:space="preserve">SE-DST-02</t>
  </si>
  <si>
    <t xml:space="preserve">Destination Delivery Order &amp; Handling</t>
  </si>
  <si>
    <t xml:space="preserve">POD handling</t>
  </si>
  <si>
    <t xml:space="preserve">SE-CST-01</t>
  </si>
  <si>
    <t xml:space="preserve">Destination Customs Clearance</t>
  </si>
  <si>
    <t xml:space="preserve">Per Document</t>
  </si>
  <si>
    <t xml:space="preserve">SE-CST-02</t>
  </si>
  <si>
    <t xml:space="preserve">Destination Import Duty &amp; Taxes</t>
  </si>
  <si>
    <t xml:space="preserve">As per POD tariff</t>
  </si>
  <si>
    <t xml:space="preserve">SE-DEL-01</t>
  </si>
  <si>
    <t xml:space="preserve">Destination Final Mile Delivery</t>
  </si>
  <si>
    <t xml:space="preserve">Per Trip</t>
  </si>
  <si>
    <t xml:space="preserve">POD port to door</t>
  </si>
  <si>
    <t xml:space="preserve">SE-DEL-02</t>
  </si>
  <si>
    <t xml:space="preserve">Origin Transportation Charges</t>
  </si>
  <si>
    <t xml:space="preserve">Transportation Charges</t>
  </si>
  <si>
    <t xml:space="preserve">SE-INS-01</t>
  </si>
  <si>
    <t xml:space="preserve">Export Cargo Marine Insurance</t>
  </si>
  <si>
    <t xml:space="preserve">Full transit insurance</t>
  </si>
  <si>
    <t xml:space="preserve">AIR IMPORT PRICING TEMPLATE (EXW, FOB, CIF)</t>
  </si>
  <si>
    <t xml:space="preserve">Covers Air Freight Imports into DXB / DWC</t>
  </si>
  <si>
    <t xml:space="preserve">AI-ORG-01</t>
  </si>
  <si>
    <t xml:space="preserve">Origin Pickup &amp; Cartage</t>
  </si>
  <si>
    <t xml:space="preserve">Per KG</t>
  </si>
  <si>
    <t xml:space="preserve">Pickup to origin airport</t>
  </si>
  <si>
    <t xml:space="preserve">AI-ORG-02</t>
  </si>
  <si>
    <t xml:space="preserve">Air Waybill (AWB) Fee</t>
  </si>
  <si>
    <t xml:space="preserve">Per AWB</t>
  </si>
  <si>
    <t xml:space="preserve">Documentation fee</t>
  </si>
  <si>
    <t xml:space="preserve">AI-ORG-03</t>
  </si>
  <si>
    <t xml:space="preserve">Origin Handling &amp; Screening</t>
  </si>
  <si>
    <t xml:space="preserve">X-ray &amp; airport security</t>
  </si>
  <si>
    <t xml:space="preserve">AI-FRT-01</t>
  </si>
  <si>
    <t xml:space="preserve">Air Freight Charge (General Cargo)</t>
  </si>
  <si>
    <t xml:space="preserve">Per Chargeable KG</t>
  </si>
  <si>
    <t xml:space="preserve">Actual vs Volumetric (1:6000)</t>
  </si>
  <si>
    <t xml:space="preserve">AI-FRT-02</t>
  </si>
  <si>
    <t xml:space="preserve">Fuel Surcharge (FSC)</t>
  </si>
  <si>
    <t xml:space="preserve">Carrier fuel charge</t>
  </si>
  <si>
    <t xml:space="preserve">AI-FRT-03</t>
  </si>
  <si>
    <t xml:space="preserve">Security Surcharge (SSC)</t>
  </si>
  <si>
    <t xml:space="preserve">Carrier security fee</t>
  </si>
  <si>
    <t xml:space="preserve">AI-DST-01</t>
  </si>
  <si>
    <t xml:space="preserve">DN / Delivery Order Fee</t>
  </si>
  <si>
    <t xml:space="preserve">Airline DO fee</t>
  </si>
  <si>
    <t xml:space="preserve">AI-DST-02</t>
  </si>
  <si>
    <t xml:space="preserve">DXB / DWC Airport Cargo Terminal Handling</t>
  </si>
  <si>
    <t xml:space="preserve">dnata / Airport terminal fee</t>
  </si>
  <si>
    <t xml:space="preserve">AI-CST-01</t>
  </si>
  <si>
    <t xml:space="preserve">Air Import Customs Clearance</t>
  </si>
  <si>
    <t xml:space="preserve">AI-CST-02</t>
  </si>
  <si>
    <t xml:space="preserve">Customs Inspection &amp; Verification</t>
  </si>
  <si>
    <t xml:space="preserve">Airport customs inspection</t>
  </si>
  <si>
    <t xml:space="preserve">AI-CST-03</t>
  </si>
  <si>
    <t xml:space="preserve">Customs Duty </t>
  </si>
  <si>
    <t xml:space="preserve">AI-CST-04</t>
  </si>
  <si>
    <t xml:space="preserve">VAT </t>
  </si>
  <si>
    <t xml:space="preserve">AI-CST-05</t>
  </si>
  <si>
    <t xml:space="preserve">AI-CST-06</t>
  </si>
  <si>
    <t xml:space="preserve">AI-DEL-01</t>
  </si>
  <si>
    <t xml:space="preserve">Airport to Warehouse Dedicated Vehicle</t>
  </si>
  <si>
    <t xml:space="preserve">Per Trip (3 Ton)</t>
  </si>
  <si>
    <t xml:space="preserve">Airport to local store</t>
  </si>
  <si>
    <t xml:space="preserve">AI-INS-01</t>
  </si>
  <si>
    <t xml:space="preserve">Air Cargo Transit Insurance</t>
  </si>
  <si>
    <t xml:space="preserve">% of Invoice Value</t>
  </si>
  <si>
    <t xml:space="preserve">All risk air coverage</t>
  </si>
  <si>
    <t xml:space="preserve">AIR EXPORT PRICING TEMPLATE (CFR, CIF, DDP, FCA)</t>
  </si>
  <si>
    <t xml:space="preserve">Covers Air Freight Exports from UAE Outbound</t>
  </si>
  <si>
    <t xml:space="preserve">AE-ORG-01</t>
  </si>
  <si>
    <t xml:space="preserve">Local Pickup to Airport</t>
  </si>
  <si>
    <t xml:space="preserve">Door to DXB/DWC</t>
  </si>
  <si>
    <t xml:space="preserve">AE-ORG-02</t>
  </si>
  <si>
    <t xml:space="preserve">Origin dnata Terminal Handling</t>
  </si>
  <si>
    <t xml:space="preserve">Airport ground handling</t>
  </si>
  <si>
    <t xml:space="preserve">AE-ORG-03</t>
  </si>
  <si>
    <t xml:space="preserve">Export Customs Clearance &amp; AWB Fee</t>
  </si>
  <si>
    <t xml:space="preserve">Customs &amp; documentation</t>
  </si>
  <si>
    <t xml:space="preserve">AE-ORG-04</t>
  </si>
  <si>
    <t xml:space="preserve">MCC Fees</t>
  </si>
  <si>
    <t xml:space="preserve">AE-ORG-05</t>
  </si>
  <si>
    <t xml:space="preserve">Handling Charges</t>
  </si>
  <si>
    <t xml:space="preserve">Per Awb</t>
  </si>
  <si>
    <t xml:space="preserve">AE-ORG-06</t>
  </si>
  <si>
    <t xml:space="preserve">Label Charges</t>
  </si>
  <si>
    <t xml:space="preserve">Per Carton</t>
  </si>
  <si>
    <t xml:space="preserve">AE-FRT-01</t>
  </si>
  <si>
    <t xml:space="preserve">Air Freight Export Rate</t>
  </si>
  <si>
    <t xml:space="preserve">Direct / Consolidated flight</t>
  </si>
  <si>
    <t xml:space="preserve">AE-FRT-02</t>
  </si>
  <si>
    <t xml:space="preserve">Fuel &amp; Security Surcharges</t>
  </si>
  <si>
    <t xml:space="preserve">Carrier surcharges</t>
  </si>
  <si>
    <t xml:space="preserve">AE-FRT-03</t>
  </si>
  <si>
    <t xml:space="preserve">DG Surcharges</t>
  </si>
  <si>
    <t xml:space="preserve">AE-DST-01</t>
  </si>
  <si>
    <t xml:space="preserve">Destination Terminal Handling &amp; DO</t>
  </si>
  <si>
    <t xml:space="preserve">Applicable for DDP</t>
  </si>
  <si>
    <t xml:space="preserve">DDP</t>
  </si>
  <si>
    <t xml:space="preserve">AE-CST-01</t>
  </si>
  <si>
    <t xml:space="preserve">Destination entry</t>
  </si>
  <si>
    <t xml:space="preserve">AE-DEL-01</t>
  </si>
  <si>
    <t xml:space="preserve">Destination Door Delivery</t>
  </si>
  <si>
    <t xml:space="preserve">Airport to door</t>
  </si>
  <si>
    <t xml:space="preserve">AE-INS-01</t>
  </si>
  <si>
    <t xml:space="preserve">Air Export Cargo Insurance</t>
  </si>
  <si>
    <t xml:space="preserve">Export insurance</t>
  </si>
  <si>
    <t xml:space="preserve">LAND TRANSPORT PRICING TEMPLATE (EXW, DDP)</t>
  </si>
  <si>
    <t xml:space="preserve">Covers Local &amp; Cross-Border GCC Land Freight</t>
  </si>
  <si>
    <t xml:space="preserve">LT-ORG-01</t>
  </si>
  <si>
    <t xml:space="preserve">Border Export Customs Clearance &amp; Docs</t>
  </si>
  <si>
    <t xml:space="preserve">Per Shipment / Truck</t>
  </si>
  <si>
    <t xml:space="preserve">Border customs documentation</t>
  </si>
  <si>
    <t xml:space="preserve">LT-ORG-02</t>
  </si>
  <si>
    <t xml:space="preserve">Border Export Manifest / Transit Permit</t>
  </si>
  <si>
    <t xml:space="preserve">Transit permit</t>
  </si>
  <si>
    <t xml:space="preserve">LT-FRT-01</t>
  </si>
  <si>
    <t xml:space="preserve">Inter-GCC Freight: UAE to Saudi Arabia (Riyadh)</t>
  </si>
  <si>
    <t xml:space="preserve">Per 13.6m Trailer</t>
  </si>
  <si>
    <t xml:space="preserve">Standard curtain side</t>
  </si>
  <si>
    <t xml:space="preserve">FTL</t>
  </si>
  <si>
    <t xml:space="preserve">LT-FRT-02</t>
  </si>
  <si>
    <t xml:space="preserve">Inter-GCC Freight: UAE to Oman (Muscat)</t>
  </si>
  <si>
    <t xml:space="preserve">Per 3 Ton Pickup</t>
  </si>
  <si>
    <t xml:space="preserve">Box pickup truck</t>
  </si>
  <si>
    <t xml:space="preserve">LT-FRT-03</t>
  </si>
  <si>
    <t xml:space="preserve">GCC Border Crossing Surcharge &amp; Tolls</t>
  </si>
  <si>
    <t xml:space="preserve">Per Truck</t>
  </si>
  <si>
    <t xml:space="preserve">Port / border charges</t>
  </si>
  <si>
    <t xml:space="preserve">LT-DST-01</t>
  </si>
  <si>
    <t xml:space="preserve">Destination Border Inspection &amp; Gate Fee</t>
  </si>
  <si>
    <t xml:space="preserve">GCC border entry</t>
  </si>
  <si>
    <t xml:space="preserve">LT-CST-01</t>
  </si>
  <si>
    <t xml:space="preserve">Destination Import Customs Clearance</t>
  </si>
  <si>
    <t xml:space="preserve">Per Declaration</t>
  </si>
  <si>
    <t xml:space="preserve">KSA / Oman customs entry</t>
  </si>
  <si>
    <t xml:space="preserve">LT-CST-02</t>
  </si>
  <si>
    <t xml:space="preserve">Import Customs Duty / GCC Duty</t>
  </si>
  <si>
    <t xml:space="preserve">% of Cargo Value</t>
  </si>
  <si>
    <t xml:space="preserve">Statutory duty</t>
  </si>
  <si>
    <t xml:space="preserve">LT-DEL-01</t>
  </si>
  <si>
    <t xml:space="preserve">Last Mile Delivery to Destination Site</t>
  </si>
  <si>
    <t xml:space="preserve">Per Location</t>
  </si>
  <si>
    <t xml:space="preserve">Unloading site</t>
  </si>
  <si>
    <t xml:space="preserve">LT-DEL-02</t>
  </si>
  <si>
    <t xml:space="preserve">Driver Waiting Charge at Border/Site</t>
  </si>
  <si>
    <t xml:space="preserve">After 24 hrs free time</t>
  </si>
  <si>
    <t xml:space="preserve">LT-INS-01</t>
  </si>
  <si>
    <t xml:space="preserve">Land Transport Overland Insurance</t>
  </si>
  <si>
    <t xml:space="preserve">Road transit coverage</t>
  </si>
  <si>
    <t xml:space="preserve">EMIRATES TRANSPORTATION &amp; VEHICLE MATRIX (3 TON UPWARDS)</t>
  </si>
  <si>
    <t xml:space="preserve">Matrix of vehicle sizes, payload capacities, dimensions, city restriction timings, and base matrix rates across UAE Emirates.</t>
  </si>
  <si>
    <t xml:space="preserve">1. VEHICLE SPECIFICATIONS &amp; CITY RESTRICTIONS</t>
  </si>
  <si>
    <t xml:space="preserve">Vehicle Type</t>
  </si>
  <si>
    <t xml:space="preserve">Max Payload (Tons)</t>
  </si>
  <si>
    <t xml:space="preserve">Cargo Box Dim (L x W x H) meters</t>
  </si>
  <si>
    <t xml:space="preserve">CBM Capacity</t>
  </si>
  <si>
    <t xml:space="preserve">Pallet Capacity (Std)</t>
  </si>
  <si>
    <t xml:space="preserve">City Restriction Timings (Dubai/AD)</t>
  </si>
  <si>
    <t xml:space="preserve">Standard Zone</t>
  </si>
  <si>
    <t xml:space="preserve">Inter-Emirate Zone</t>
  </si>
  <si>
    <t xml:space="preserve">Waiting Rate / Hour</t>
  </si>
  <si>
    <t xml:space="preserve">3 Ton Pickup / Box</t>
  </si>
  <si>
    <t xml:space="preserve">4.2 x 2.1 x 2.1</t>
  </si>
  <si>
    <t xml:space="preserve">4-6 Pallets</t>
  </si>
  <si>
    <t xml:space="preserve">06:30-08:30 &amp; 13:00-15:00 &amp; 17:30-20:00</t>
  </si>
  <si>
    <t xml:space="preserve">Local Metro</t>
  </si>
  <si>
    <t xml:space="preserve">Cross-Emirate</t>
  </si>
  <si>
    <t xml:space="preserve">7 Ton Pickup / Truck</t>
  </si>
  <si>
    <t xml:space="preserve">6.0 x 2.3 x 2.3</t>
  </si>
  <si>
    <t xml:space="preserve">8-10 Pallets</t>
  </si>
  <si>
    <t xml:space="preserve">06:00-09:00 &amp; 17:00-20:00 (Major Bridges)</t>
  </si>
  <si>
    <t xml:space="preserve">10 Ton Heavy Truck</t>
  </si>
  <si>
    <t xml:space="preserve">7.2 x 2.4 x 2.4</t>
  </si>
  <si>
    <t xml:space="preserve">12-14 Pallets</t>
  </si>
  <si>
    <t xml:space="preserve">Restricted peak hours in urban centers</t>
  </si>
  <si>
    <t xml:space="preserve">Industrial / Port</t>
  </si>
  <si>
    <t xml:space="preserve">12m / 40ft Flatbed Trailer</t>
  </si>
  <si>
    <t xml:space="preserve">12.2 x 2.4 x 1.5</t>
  </si>
  <si>
    <t xml:space="preserve">20-22 Pallets</t>
  </si>
  <si>
    <t xml:space="preserve">Strict daytime peak banned in city center</t>
  </si>
  <si>
    <t xml:space="preserve">Port / Heavy</t>
  </si>
  <si>
    <t xml:space="preserve">13.6m Box / Curtain Side</t>
  </si>
  <si>
    <t xml:space="preserve">13.6 x 2.45 x 2.6</t>
  </si>
  <si>
    <t xml:space="preserve">24-26 Pallets</t>
  </si>
  <si>
    <t xml:space="preserve">Night movement preferred / Bypass roads</t>
  </si>
  <si>
    <t xml:space="preserve">Reefer Trailer (Chilled/Frozen)</t>
  </si>
  <si>
    <t xml:space="preserve">13.2 x 2.4 x 2.4</t>
  </si>
  <si>
    <t xml:space="preserve">22-24 Pallets</t>
  </si>
  <si>
    <t xml:space="preserve">Night / Early morning clearance</t>
  </si>
  <si>
    <t xml:space="preserve">Port / Cold Chain</t>
  </si>
  <si>
    <t xml:space="preserve">2. EMIRATES INTER-CITY RATE MATRIX (ESTIMATED BASE COST IN AED)</t>
  </si>
  <si>
    <t xml:space="preserve">Origin Emirate</t>
  </si>
  <si>
    <t xml:space="preserve">Destination Emirate</t>
  </si>
  <si>
    <t xml:space="preserve">3 Ton Truck</t>
  </si>
  <si>
    <t xml:space="preserve">7 Ton Truck</t>
  </si>
  <si>
    <t xml:space="preserve">10 Ton Truck</t>
  </si>
  <si>
    <t xml:space="preserve">40ft Flatbed</t>
  </si>
  <si>
    <t xml:space="preserve">13.6m Box Trailer</t>
  </si>
  <si>
    <t xml:space="preserve">Reefer Trailer</t>
  </si>
  <si>
    <t xml:space="preserve">Est. Transit Time</t>
  </si>
  <si>
    <t xml:space="preserve">Dubai (Jebel Ali / DWC)</t>
  </si>
  <si>
    <t xml:space="preserve">Dubai Local (Al Quoz / DIP)</t>
  </si>
  <si>
    <t xml:space="preserve">Same Day (2-4 hrs)</t>
  </si>
  <si>
    <t xml:space="preserve">Abu Dhabi City / Mussafah</t>
  </si>
  <si>
    <t xml:space="preserve">Same Day (4-6 hrs)</t>
  </si>
  <si>
    <t xml:space="preserve">Sharjah / Ajman</t>
  </si>
  <si>
    <t xml:space="preserve">Same Day (3-5 hrs)</t>
  </si>
  <si>
    <t xml:space="preserve">Ras Al Khaimah / Fujairah</t>
  </si>
  <si>
    <t xml:space="preserve">Same Day (5-7 hrs)</t>
  </si>
  <si>
    <t xml:space="preserve">Abu Dhabi</t>
  </si>
  <si>
    <t xml:space="preserve">Dubai</t>
  </si>
  <si>
    <t xml:space="preserve">Sharjah (Sajja / Port)</t>
  </si>
  <si>
    <t xml:space="preserve">WAREHOUSING &amp; STORAGE PRICING MATRIX</t>
  </si>
  <si>
    <t xml:space="preserve">Columns H to M control how the quote app uses each line. See the 'App Guide' sheet.</t>
  </si>
  <si>
    <t xml:space="preserve">Comprehensive storage, handling, VAS, and compliance charges across General, Frozen, Ambient, Dangerous, and Excise goods.</t>
  </si>
  <si>
    <t xml:space="preserve">CATEGORY: GENERAL STORAGE</t>
  </si>
  <si>
    <t xml:space="preserve">Storage Category</t>
  </si>
  <si>
    <t xml:space="preserve">Activity / Charge Item</t>
  </si>
  <si>
    <t xml:space="preserve">Billing Basis / Unit</t>
  </si>
  <si>
    <t xml:space="preserve">Temp Range</t>
  </si>
  <si>
    <t xml:space="preserve">Base Cost Rate (AED)</t>
  </si>
  <si>
    <t xml:space="preserve">Special Compliance / Regulatory</t>
  </si>
  <si>
    <t xml:space="preserve">Remarks</t>
  </si>
  <si>
    <t xml:space="preserve">General Storage</t>
  </si>
  <si>
    <t xml:space="preserve">Pallet Storage - Dry / General</t>
  </si>
  <si>
    <t xml:space="preserve">Per Pallet / Day</t>
  </si>
  <si>
    <t xml:space="preserve">Ambient (25-30°C)</t>
  </si>
  <si>
    <t xml:space="preserve">None</t>
  </si>
  <si>
    <t xml:space="preserve">Standard racking storage</t>
  </si>
  <si>
    <t xml:space="preserve">General</t>
  </si>
  <si>
    <t xml:space="preserve">Inbound Handling (In-Out / Inward)</t>
  </si>
  <si>
    <t xml:space="preserve">Per Pallet</t>
  </si>
  <si>
    <t xml:space="preserve">N/A</t>
  </si>
  <si>
    <t xml:space="preserve">Offloading, receiving, putaway</t>
  </si>
  <si>
    <t xml:space="preserve">Outbound Handling (Pick &amp; Pack)</t>
  </si>
  <si>
    <t xml:space="preserve">Per Pallet / Order</t>
  </si>
  <si>
    <t xml:space="preserve">Picking, dispatch, loading</t>
  </si>
  <si>
    <t xml:space="preserve">CATEGORY: AMBIENT / TEMPERATURE CONTROLLED</t>
  </si>
  <si>
    <t xml:space="preserve">Ambient / Temperature Controlled</t>
  </si>
  <si>
    <t xml:space="preserve">Air-Conditioned / AC Storage</t>
  </si>
  <si>
    <t xml:space="preserve">18°C - 22°C</t>
  </si>
  <si>
    <t xml:space="preserve">Dubai Municipality</t>
  </si>
  <si>
    <t xml:space="preserve">Confectionery, electronics, pharma</t>
  </si>
  <si>
    <t xml:space="preserve">Temperature Controlled In/Out</t>
  </si>
  <si>
    <t xml:space="preserve">DM Inspection</t>
  </si>
  <si>
    <t xml:space="preserve">Receiving &amp; staging</t>
  </si>
  <si>
    <t xml:space="preserve">CATEGORY: COLD CHAIN / FROZEN STORAGE</t>
  </si>
  <si>
    <t xml:space="preserve">Cold Chain / Frozen Storage</t>
  </si>
  <si>
    <t xml:space="preserve">Cold / Frozen Storage</t>
  </si>
  <si>
    <t xml:space="preserve">-18°C to -22°C</t>
  </si>
  <si>
    <t xml:space="preserve">Food Safety / DM Approval</t>
  </si>
  <si>
    <t xml:space="preserve">Frozen meat, poultry, dairy</t>
  </si>
  <si>
    <t xml:space="preserve">Chilled Storage</t>
  </si>
  <si>
    <t xml:space="preserve">2°C to 8°C</t>
  </si>
  <si>
    <t xml:space="preserve">Fresh produce, dairy</t>
  </si>
  <si>
    <t xml:space="preserve">Cold Storage In/Out Handling</t>
  </si>
  <si>
    <t xml:space="preserve">Cold Chain</t>
  </si>
  <si>
    <t xml:space="preserve">Temperature logging</t>
  </si>
  <si>
    <t xml:space="preserve">Dock room transfer</t>
  </si>
  <si>
    <t xml:space="preserve">CATEGORY: DANGEROUS GOODS (HAZMAT) STORAGE</t>
  </si>
  <si>
    <t xml:space="preserve">Dangerous Goods (HAZMAT) Storage</t>
  </si>
  <si>
    <t xml:space="preserve">Hazardous / DG Storage Class 3, 6, 8, 9</t>
  </si>
  <si>
    <t xml:space="preserve">Segregated Hazmat</t>
  </si>
  <si>
    <t xml:space="preserve">Dubai Civil Defence (DCD)</t>
  </si>
  <si>
    <t xml:space="preserve">Bunkered / Fire-rated storage</t>
  </si>
  <si>
    <t xml:space="preserve">DG In/Out Handling &amp; Safety Inspection</t>
  </si>
  <si>
    <t xml:space="preserve">MSDS Verification</t>
  </si>
  <si>
    <t xml:space="preserve">Specialized HAZMAT handling</t>
  </si>
  <si>
    <t xml:space="preserve">CATEGORY: EXCISE GOODS STORAGE (BONDED WAREHOUSE)</t>
  </si>
  <si>
    <t xml:space="preserve">Excise Goods Storage (Bonded Warehouse)</t>
  </si>
  <si>
    <t xml:space="preserve">Excise Goods Storage (Tobacco/Energy/Soda)</t>
  </si>
  <si>
    <t xml:space="preserve">Bonded Warehouse</t>
  </si>
  <si>
    <t xml:space="preserve">FTA / Customs Excise Duty</t>
  </si>
  <si>
    <t xml:space="preserve">Designated Zone / FTA Registered</t>
  </si>
  <si>
    <t xml:space="preserve">Other</t>
  </si>
  <si>
    <t xml:space="preserve">Excise Digital Tax Stamp (DTS) Application</t>
  </si>
  <si>
    <t xml:space="preserve">Per Unit / Box</t>
  </si>
  <si>
    <t xml:space="preserve">FTA Compliance</t>
  </si>
  <si>
    <t xml:space="preserve">Affixing tax stamps</t>
  </si>
  <si>
    <t xml:space="preserve">Customs / FTA Stock Audit Fee</t>
  </si>
  <si>
    <t xml:space="preserve">Per Audit / Month</t>
  </si>
  <si>
    <t xml:space="preserve">Excise reconciliation reporting</t>
  </si>
  <si>
    <t xml:space="preserve">ADD-ONS PROPOSED BY CLAUDE (cargo type, LCL and LTL lines). Review each row: fix, fill the cost, or delete the row.</t>
  </si>
  <si>
    <t xml:space="preserve">Same columns as the pricing sheets, plus Mode in column R. These lines were not in your Template_design; they fill gaps for Refrigerated, OOG, Dangerous, Other cargo, LCL and LTL.</t>
  </si>
  <si>
    <t xml:space="preserve">Mode</t>
  </si>
  <si>
    <t xml:space="preserve">Status</t>
  </si>
  <si>
    <t xml:space="preserve">AD-001</t>
  </si>
  <si>
    <t xml:space="preserve">Reefer Surcharge</t>
  </si>
  <si>
    <t xml:space="preserve">Carrier tariff</t>
  </si>
  <si>
    <t xml:space="preserve">Sea</t>
  </si>
  <si>
    <t xml:space="preserve">Proposed - confirm</t>
  </si>
  <si>
    <t xml:space="preserve">AD-002</t>
  </si>
  <si>
    <t xml:space="preserve">Reefer Plug-in / Monitoring</t>
  </si>
  <si>
    <t xml:space="preserve">Per Container / Day</t>
  </si>
  <si>
    <t xml:space="preserve">At actuals</t>
  </si>
  <si>
    <t xml:space="preserve">AD-003</t>
  </si>
  <si>
    <t xml:space="preserve">Pre-Trip Inspection (PTI)</t>
  </si>
  <si>
    <t xml:space="preserve">AD-004</t>
  </si>
  <si>
    <t xml:space="preserve">Genset / Reefer Trucking Premium</t>
  </si>
  <si>
    <t xml:space="preserve">If trucked</t>
  </si>
  <si>
    <t xml:space="preserve">AD-005</t>
  </si>
  <si>
    <t xml:space="preserve">Temperature-Controlled Handling Surcharge</t>
  </si>
  <si>
    <t xml:space="preserve">Airline approval required</t>
  </si>
  <si>
    <t xml:space="preserve">Air</t>
  </si>
  <si>
    <t xml:space="preserve">AD-006</t>
  </si>
  <si>
    <t xml:space="preserve">Cool Room Storage</t>
  </si>
  <si>
    <t xml:space="preserve">Per KG / Day</t>
  </si>
  <si>
    <t xml:space="preserve">AD-007</t>
  </si>
  <si>
    <t xml:space="preserve">Reefer Truck Premium</t>
  </si>
  <si>
    <t xml:space="preserve">Land</t>
  </si>
  <si>
    <t xml:space="preserve">AD-008</t>
  </si>
  <si>
    <t xml:space="preserve">OOG / Special Equipment Surcharge (FR / OT)</t>
  </si>
  <si>
    <t xml:space="preserve">Carrier acceptance required</t>
  </si>
  <si>
    <t xml:space="preserve">OOG</t>
  </si>
  <si>
    <t xml:space="preserve">AD-009</t>
  </si>
  <si>
    <t xml:space="preserve">Lashing, Securing &amp; Survey</t>
  </si>
  <si>
    <t xml:space="preserve">AD-010</t>
  </si>
  <si>
    <t xml:space="preserve">Port Permits / Special Handling</t>
  </si>
  <si>
    <t xml:space="preserve">AD-011</t>
  </si>
  <si>
    <t xml:space="preserve">Outsize Cargo / Charter Handling</t>
  </si>
  <si>
    <t xml:space="preserve">Quote on request</t>
  </si>
  <si>
    <t xml:space="preserve">AD-012</t>
  </si>
  <si>
    <t xml:space="preserve">Low-Bed Trailer Premium</t>
  </si>
  <si>
    <t xml:space="preserve">AD-013</t>
  </si>
  <si>
    <t xml:space="preserve">Special Permits &amp; Escort</t>
  </si>
  <si>
    <t xml:space="preserve">AD-014</t>
  </si>
  <si>
    <t xml:space="preserve">DG Surcharge</t>
  </si>
  <si>
    <t xml:space="preserve">Export already has IMO DG Surcharge in your template</t>
  </si>
  <si>
    <t xml:space="preserve">AD-015</t>
  </si>
  <si>
    <t xml:space="preserve">DG Declaration / IMDG Documentation</t>
  </si>
  <si>
    <t xml:space="preserve">AD-016</t>
  </si>
  <si>
    <t xml:space="preserve">DG Port Handling / Storage</t>
  </si>
  <si>
    <t xml:space="preserve">AD-017</t>
  </si>
  <si>
    <t xml:space="preserve">DG Acceptance Check / Handling (IATA DGR)</t>
  </si>
  <si>
    <t xml:space="preserve">AD-018</t>
  </si>
  <si>
    <t xml:space="preserve">Export already has DG Surcharges in your template</t>
  </si>
  <si>
    <t xml:space="preserve">AD-019</t>
  </si>
  <si>
    <t xml:space="preserve">DG Vehicle Premium / Permit</t>
  </si>
  <si>
    <t xml:space="preserve">AD-020</t>
  </si>
  <si>
    <t xml:space="preserve">Special Cargo Handling (specify)</t>
  </si>
  <si>
    <t xml:space="preserve">Other Charges</t>
  </si>
  <si>
    <t xml:space="preserve">Describe in remarks</t>
  </si>
  <si>
    <t xml:space="preserve">Sea,Air,Land</t>
  </si>
  <si>
    <t xml:space="preserve">AD-021</t>
  </si>
  <si>
    <t xml:space="preserve">Pallet Handling / Shrink Wrapping</t>
  </si>
  <si>
    <t xml:space="preserve">Palletized</t>
  </si>
  <si>
    <t xml:space="preserve">AD-022</t>
  </si>
  <si>
    <t xml:space="preserve">Loose Cargo Manual Handling</t>
  </si>
  <si>
    <t xml:space="preserve">Per CBM</t>
  </si>
  <si>
    <t xml:space="preserve">Floor-loaded / manual unloading</t>
  </si>
  <si>
    <t xml:space="preserve">Loose</t>
  </si>
  <si>
    <t xml:space="preserve">AD-023</t>
  </si>
  <si>
    <t xml:space="preserve">Segregation / Sorting / Labelling</t>
  </si>
  <si>
    <t xml:space="preserve">Mixed</t>
  </si>
  <si>
    <t xml:space="preserve">AD-024</t>
  </si>
  <si>
    <t xml:space="preserve">Origin CFS / Consolidation Charges</t>
  </si>
  <si>
    <t xml:space="preserve">Min 1 CBM</t>
  </si>
  <si>
    <t xml:space="preserve">LCL</t>
  </si>
  <si>
    <t xml:space="preserve">AD-025</t>
  </si>
  <si>
    <t xml:space="preserve">Ocean Freight (LCL)</t>
  </si>
  <si>
    <t xml:space="preserve">Per CBM / W/M</t>
  </si>
  <si>
    <t xml:space="preserve">Higher of weight or measure</t>
  </si>
  <si>
    <t xml:space="preserve">AD-026</t>
  </si>
  <si>
    <t xml:space="preserve">Destination CFS / De-consolidation Charges</t>
  </si>
  <si>
    <t xml:space="preserve">At Jebel Ali CFS</t>
  </si>
  <si>
    <t xml:space="preserve">AD-027</t>
  </si>
  <si>
    <t xml:space="preserve">Origin CFS / Stuffing Charges</t>
  </si>
  <si>
    <t xml:space="preserve">AD-028</t>
  </si>
  <si>
    <t xml:space="preserve">AD-029</t>
  </si>
  <si>
    <t xml:space="preserve">Inter-GCC Freight: LTL (part load)</t>
  </si>
  <si>
    <t xml:space="preserve">LTL</t>
  </si>
  <si>
    <t xml:space="preserve">How the quote app reads this workbook</t>
  </si>
  <si>
    <t xml:space="preserve">Your layout is unchanged</t>
  </si>
  <si>
    <t xml:space="preserve">Every sheet, value and formula you made is still here. I only added columns on the right (blue and yellow) and two sheets: 'Add-ons (proposed)' and this guide.</t>
  </si>
  <si>
    <t xml:space="preserve">Base Cost Rate (col F)</t>
  </si>
  <si>
    <t xml:space="preserve">Your cost for the line, in the Currency in column E. Leave blank until you have the number. For lines whose unit is a % (insurance, duty), enter the percentage as a % (0.35% is typed 0.35% or 0.0035).</t>
  </si>
  <si>
    <t xml:space="preserve">Margin % (yellow)</t>
  </si>
  <si>
    <t xml:space="preserve">Optional. Sell rate = Base Cost Rate x (1 + Margin %). Type 15% or 0.15. The salesperson sees only the sell rate, never the cost or the margin.</t>
  </si>
  <si>
    <t xml:space="preserve">Direction / Load Type / Cargo Nature / Cargo Type</t>
  </si>
  <si>
    <t xml:space="preserve">ALL = shows for every choice. Otherwise the line shows only when the quote matches. Load Type is FCL, LCL, FTL or LTL. Cargo Type is General, Refrigerated, OOG, Dangerous or Other.</t>
  </si>
  <si>
    <t xml:space="preserve">ALL, or a list such as EXW or DDP,CFR. When a list is given, the line shows only for those Incoterms and skips the Incoterm_Matrix rule. When ALL, the Incoterm_Matrix decides by category.</t>
  </si>
  <si>
    <t xml:space="preserve">Y = the line is ticked (included) when the quote opens. N = it is there but unticked.</t>
  </si>
  <si>
    <t xml:space="preserve">Y = the line is VAT-chargeable by default. The salesperson can tick or untick VAT per line on the quote.</t>
  </si>
  <si>
    <t xml:space="preserve">Auto = once a cost is filled in, the rate is locked and cannot be edited on the quote. Editable = the salesperson can change the rate.</t>
  </si>
  <si>
    <t xml:space="preserve">Usually 1. For % lines the quantity on the quote is the cargo value (CIF value) in the quote currency.</t>
  </si>
  <si>
    <t xml:space="preserve">Category order on the quote</t>
  </si>
  <si>
    <t xml:space="preserve">Freight, Origin, Destination, Customs, Delivery, Insurance. Warehousing lines follow their own storage categories.</t>
  </si>
  <si>
    <t xml:space="preserve">Not wired yet</t>
  </si>
  <si>
    <t xml:space="preserve">The 'Emirates &amp; Truck Matrix' and 'Quote Calculator' sheets are not read by the app yet.</t>
  </si>
  <si>
    <t xml:space="preserve">Colours</t>
  </si>
  <si>
    <t xml:space="preserve">Blue = pre-set by a draft rule, change it freely. Yellow = you fill in. Orange (Add-ons sheet) = proposed by Claude, confirm or delete.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</si>
</sst>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0.0%"/>
    <numFmt numFmtId="167" formatCode="#,##0.00"/>
    <numFmt numFmtId="168" formatCode="0.0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2"/>
      <charset val="1"/>
    </font>
    <font>
      <b val="true"/>
      <sz val="11"/>
      <color rgb="FF1F4E79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2"/>
      <color rgb="FF1F4E79"/>
      <name val="Calibri"/>
      <family val="2"/>
      <charset val="1"/>
    </font>
    <font>
      <i val="true"/>
      <sz val="10"/>
      <color rgb="FF7F7F7F"/>
      <name val="Calibri"/>
      <family val="0"/>
      <charset val="1"/>
    </font>
    <font>
      <i val="true"/>
      <sz val="10"/>
      <color rgb="FF595959"/>
      <name val="Calibri"/>
      <family val="2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2"/>
      <color rgb="FF1F4E79"/>
      <name val="Calibri"/>
      <family val="0"/>
      <charset val="1"/>
    </font>
    <font>
      <i val="true"/>
      <sz val="10"/>
      <name val="Calibri"/>
      <family val="0"/>
      <charset val="1"/>
    </font>
    <font>
      <b val="true"/>
      <sz val="14"/>
      <color rgb="FF1F4E79"/>
      <name val="Calibri"/>
      <family val="0"/>
      <charset val="1"/>
    </font>
    <font>
      <b val="true"/>
      <sz val="11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F5597"/>
        <bgColor rgb="FF1F4E79"/>
      </patternFill>
    </fill>
    <fill>
      <patternFill patternType="solid">
        <fgColor rgb="FFD9E1F2"/>
        <bgColor rgb="FFDDEBF7"/>
      </patternFill>
    </fill>
    <fill>
      <patternFill patternType="solid">
        <fgColor rgb="FF1F4E79"/>
        <bgColor rgb="FF2F5597"/>
      </patternFill>
    </fill>
    <fill>
      <patternFill patternType="solid">
        <fgColor rgb="FFEDEDED"/>
        <bgColor rgb="FFF2F2F2"/>
      </patternFill>
    </fill>
    <fill>
      <patternFill patternType="solid">
        <fgColor rgb="FFDDEBF7"/>
        <bgColor rgb="FFD9E1F2"/>
      </patternFill>
    </fill>
    <fill>
      <patternFill patternType="solid">
        <fgColor rgb="FFFFFF99"/>
        <bgColor rgb="FFFCE4D6"/>
      </patternFill>
    </fill>
    <fill>
      <patternFill patternType="solid">
        <fgColor rgb="FFF2F2F2"/>
        <bgColor rgb="FFEDEDED"/>
      </patternFill>
    </fill>
    <fill>
      <patternFill patternType="solid">
        <fgColor rgb="FFFCE4D6"/>
        <bgColor rgb="FFEDEDED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8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8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0" fillId="8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8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3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DDEBF7"/>
      <rgbColor rgb="FF660066"/>
      <rgbColor rgb="FFFF8080"/>
      <rgbColor rgb="FF2F5597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D9E1F2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76"/>
    <col collapsed="false" customWidth="true" hidden="false" outlineLevel="0" max="2" min="2" style="0" width="54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2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</row>
    <row r="4" customFormat="false" ht="19.5" hidden="false" customHeight="true" outlineLevel="0" collapsed="false">
      <c r="A4" s="3" t="s">
        <v>2</v>
      </c>
      <c r="B4" s="0" t="s">
        <v>3</v>
      </c>
      <c r="D4" s="3" t="s">
        <v>4</v>
      </c>
      <c r="E4" s="0" t="s">
        <v>5</v>
      </c>
    </row>
    <row r="5" customFormat="false" ht="19.5" hidden="false" customHeight="true" outlineLevel="0" collapsed="false">
      <c r="A5" s="3" t="s">
        <v>6</v>
      </c>
      <c r="B5" s="0" t="s">
        <v>7</v>
      </c>
      <c r="D5" s="3" t="s">
        <v>8</v>
      </c>
      <c r="E5" s="0" t="s">
        <v>9</v>
      </c>
    </row>
    <row r="6" customFormat="false" ht="19.5" hidden="false" customHeight="true" outlineLevel="0" collapsed="false">
      <c r="A6" s="3" t="s">
        <v>10</v>
      </c>
      <c r="B6" s="0" t="s">
        <v>11</v>
      </c>
      <c r="D6" s="3" t="s">
        <v>12</v>
      </c>
      <c r="E6" s="0" t="s">
        <v>13</v>
      </c>
    </row>
    <row r="7" customFormat="false" ht="19.5" hidden="false" customHeight="true" outlineLevel="0" collapsed="false">
      <c r="A7" s="3" t="s">
        <v>14</v>
      </c>
      <c r="B7" s="0" t="s">
        <v>15</v>
      </c>
      <c r="D7" s="3" t="s">
        <v>16</v>
      </c>
      <c r="E7" s="0" t="s">
        <v>17</v>
      </c>
    </row>
    <row r="8" customFormat="false" ht="19.5" hidden="false" customHeight="true" outlineLevel="0" collapsed="false">
      <c r="A8" s="3" t="s">
        <v>18</v>
      </c>
      <c r="B8" s="0" t="s">
        <v>19</v>
      </c>
      <c r="D8" s="3" t="s">
        <v>20</v>
      </c>
      <c r="E8" s="0" t="s">
        <v>21</v>
      </c>
    </row>
    <row r="10" customFormat="false" ht="15" hidden="false" customHeight="false" outlineLevel="0" collapsed="false">
      <c r="A10" s="2" t="s">
        <v>22</v>
      </c>
      <c r="B10" s="2"/>
      <c r="C10" s="2"/>
      <c r="D10" s="2"/>
      <c r="E10" s="2"/>
      <c r="F10" s="2"/>
      <c r="G10" s="2"/>
    </row>
    <row r="11" customFormat="false" ht="27.75" hidden="false" customHeight="true" outlineLevel="0" collapsed="false">
      <c r="A11" s="4" t="s">
        <v>23</v>
      </c>
      <c r="B11" s="4" t="s">
        <v>24</v>
      </c>
      <c r="C11" s="4" t="s">
        <v>25</v>
      </c>
      <c r="D11" s="4" t="s">
        <v>26</v>
      </c>
      <c r="E11" s="4" t="s">
        <v>27</v>
      </c>
      <c r="F11" s="4" t="s">
        <v>28</v>
      </c>
      <c r="G11" s="4" t="s">
        <v>29</v>
      </c>
    </row>
    <row r="12" customFormat="false" ht="19.5" hidden="false" customHeight="true" outlineLevel="0" collapsed="false">
      <c r="A12" s="5" t="s">
        <v>30</v>
      </c>
      <c r="B12" s="6" t="s">
        <v>31</v>
      </c>
      <c r="C12" s="7" t="n">
        <v>550</v>
      </c>
      <c r="D12" s="5" t="n">
        <v>1</v>
      </c>
      <c r="E12" s="7" t="n">
        <f aca="false">C12*D12</f>
        <v>550</v>
      </c>
      <c r="F12" s="8" t="n">
        <v>0.15</v>
      </c>
      <c r="G12" s="9" t="n">
        <f aca="false">E12*(1+F12)</f>
        <v>632.5</v>
      </c>
    </row>
    <row r="13" customFormat="false" ht="19.5" hidden="false" customHeight="true" outlineLevel="0" collapsed="false">
      <c r="A13" s="5" t="s">
        <v>30</v>
      </c>
      <c r="B13" s="6" t="s">
        <v>32</v>
      </c>
      <c r="C13" s="7" t="n">
        <v>75</v>
      </c>
      <c r="D13" s="5" t="n">
        <v>1</v>
      </c>
      <c r="E13" s="7" t="n">
        <f aca="false">C13*D13</f>
        <v>75</v>
      </c>
      <c r="F13" s="8" t="n">
        <v>0.15</v>
      </c>
      <c r="G13" s="9" t="n">
        <f aca="false">E13*(1+F13)</f>
        <v>86.25</v>
      </c>
    </row>
    <row r="14" customFormat="false" ht="19.5" hidden="false" customHeight="true" outlineLevel="0" collapsed="false">
      <c r="A14" s="5" t="s">
        <v>33</v>
      </c>
      <c r="B14" s="6" t="s">
        <v>34</v>
      </c>
      <c r="C14" s="7" t="n">
        <v>2800</v>
      </c>
      <c r="D14" s="5" t="n">
        <v>1</v>
      </c>
      <c r="E14" s="7" t="n">
        <f aca="false">C14*D14</f>
        <v>2800</v>
      </c>
      <c r="F14" s="8" t="n">
        <v>0.1</v>
      </c>
      <c r="G14" s="9" t="n">
        <f aca="false">E14*(1+F14)</f>
        <v>3080</v>
      </c>
    </row>
    <row r="15" customFormat="false" ht="19.5" hidden="false" customHeight="true" outlineLevel="0" collapsed="false">
      <c r="A15" s="5" t="s">
        <v>33</v>
      </c>
      <c r="B15" s="6" t="s">
        <v>35</v>
      </c>
      <c r="C15" s="7" t="n">
        <v>150</v>
      </c>
      <c r="D15" s="5" t="n">
        <v>1</v>
      </c>
      <c r="E15" s="7" t="n">
        <f aca="false">C15*D15</f>
        <v>150</v>
      </c>
      <c r="F15" s="8" t="n">
        <v>0.05</v>
      </c>
      <c r="G15" s="9" t="n">
        <f aca="false">E15*(1+F15)</f>
        <v>157.5</v>
      </c>
    </row>
    <row r="16" customFormat="false" ht="19.5" hidden="false" customHeight="true" outlineLevel="0" collapsed="false">
      <c r="A16" s="5" t="s">
        <v>36</v>
      </c>
      <c r="B16" s="6" t="s">
        <v>37</v>
      </c>
      <c r="C16" s="7" t="n">
        <v>315</v>
      </c>
      <c r="D16" s="5" t="n">
        <v>1</v>
      </c>
      <c r="E16" s="7" t="n">
        <f aca="false">C16*D16</f>
        <v>315</v>
      </c>
      <c r="F16" s="8" t="n">
        <v>0.12</v>
      </c>
      <c r="G16" s="9" t="n">
        <f aca="false">E16*(1+F16)</f>
        <v>352.8</v>
      </c>
    </row>
    <row r="17" customFormat="false" ht="19.5" hidden="false" customHeight="true" outlineLevel="0" collapsed="false">
      <c r="A17" s="5" t="s">
        <v>36</v>
      </c>
      <c r="B17" s="6" t="s">
        <v>38</v>
      </c>
      <c r="C17" s="7" t="n">
        <v>125</v>
      </c>
      <c r="D17" s="5" t="n">
        <v>1</v>
      </c>
      <c r="E17" s="7" t="n">
        <f aca="false">C17*D17</f>
        <v>125</v>
      </c>
      <c r="F17" s="8" t="n">
        <v>0.15</v>
      </c>
      <c r="G17" s="9" t="n">
        <f aca="false">E17*(1+F17)</f>
        <v>143.75</v>
      </c>
    </row>
    <row r="18" customFormat="false" ht="19.5" hidden="false" customHeight="true" outlineLevel="0" collapsed="false">
      <c r="A18" s="5" t="s">
        <v>39</v>
      </c>
      <c r="B18" s="6" t="s">
        <v>40</v>
      </c>
      <c r="C18" s="7" t="n">
        <v>180</v>
      </c>
      <c r="D18" s="5" t="n">
        <v>1</v>
      </c>
      <c r="E18" s="7" t="n">
        <f aca="false">C18*D18</f>
        <v>180</v>
      </c>
      <c r="F18" s="8" t="n">
        <v>0.2</v>
      </c>
      <c r="G18" s="9" t="n">
        <f aca="false">E18*(1+F18)</f>
        <v>216</v>
      </c>
    </row>
    <row r="19" customFormat="false" ht="19.5" hidden="false" customHeight="true" outlineLevel="0" collapsed="false">
      <c r="A19" s="5" t="s">
        <v>41</v>
      </c>
      <c r="B19" s="6" t="s">
        <v>42</v>
      </c>
      <c r="C19" s="7" t="n">
        <v>230</v>
      </c>
      <c r="D19" s="5" t="n">
        <v>1</v>
      </c>
      <c r="E19" s="7" t="n">
        <f aca="false">C19*D19</f>
        <v>230</v>
      </c>
      <c r="F19" s="8" t="n">
        <v>0.15</v>
      </c>
      <c r="G19" s="9" t="n">
        <f aca="false">E19*(1+F19)</f>
        <v>264.5</v>
      </c>
    </row>
    <row r="20" customFormat="false" ht="19.5" hidden="false" customHeight="true" outlineLevel="0" collapsed="false">
      <c r="A20" s="5" t="s">
        <v>43</v>
      </c>
      <c r="B20" s="6" t="s">
        <v>44</v>
      </c>
      <c r="C20" s="7" t="n">
        <v>85</v>
      </c>
      <c r="D20" s="5" t="n">
        <v>1</v>
      </c>
      <c r="E20" s="7" t="n">
        <f aca="false">C20*D20</f>
        <v>85</v>
      </c>
      <c r="F20" s="8" t="n">
        <v>0.25</v>
      </c>
      <c r="G20" s="9" t="n">
        <f aca="false">E20*(1+F20)</f>
        <v>106.25</v>
      </c>
    </row>
    <row r="22" customFormat="false" ht="24" hidden="false" customHeight="true" outlineLevel="0" collapsed="false">
      <c r="A22" s="10" t="s">
        <v>45</v>
      </c>
      <c r="E22" s="11" t="n">
        <f aca="false">SUM(E12:E20)</f>
        <v>4510</v>
      </c>
      <c r="G22" s="12" t="n">
        <f aca="false">SUM(G12:G20)</f>
        <v>5039.55</v>
      </c>
    </row>
  </sheetData>
  <mergeCells count="3">
    <mergeCell ref="A1:G1"/>
    <mergeCell ref="A3:G3"/>
    <mergeCell ref="A10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8" activeCellId="0" sqref="F38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51"/>
    <col collapsed="false" customWidth="true" hidden="false" outlineLevel="0" max="3" min="3" style="0" width="24"/>
    <col collapsed="false" customWidth="true" hidden="false" outlineLevel="0" max="4" min="4" style="0" width="33"/>
    <col collapsed="false" customWidth="true" hidden="false" outlineLevel="0" max="5" min="5" style="0" width="13"/>
    <col collapsed="false" customWidth="true" hidden="false" outlineLevel="0" max="6" min="6" style="0" width="19"/>
    <col collapsed="false" customWidth="true" hidden="false" outlineLevel="0" max="7" min="7" style="0" width="32"/>
    <col collapsed="false" customWidth="true" hidden="false" outlineLevel="0" max="9" min="8" style="0" width="11"/>
    <col collapsed="false" customWidth="true" hidden="false" outlineLevel="0" max="10" min="10" style="0" width="13"/>
    <col collapsed="false" customWidth="true" hidden="false" outlineLevel="0" max="12" min="11" style="0" width="14"/>
    <col collapsed="false" customWidth="true" hidden="false" outlineLevel="0" max="14" min="13" style="0" width="11"/>
    <col collapsed="false" customWidth="true" hidden="false" outlineLevel="0" max="15" min="15" style="0" width="13"/>
    <col collapsed="false" customWidth="true" hidden="false" outlineLevel="0" max="16" min="16" style="0" width="10"/>
    <col collapsed="false" customWidth="true" hidden="false" outlineLevel="0" max="17" min="17" style="0" width="11"/>
  </cols>
  <sheetData>
    <row r="1" customFormat="false" ht="30" hidden="false" customHeight="true" outlineLevel="0" collapsed="false">
      <c r="A1" s="1" t="s">
        <v>46</v>
      </c>
      <c r="B1" s="1"/>
      <c r="C1" s="1"/>
      <c r="D1" s="1"/>
      <c r="E1" s="1"/>
      <c r="F1" s="1"/>
      <c r="G1" s="1"/>
      <c r="I1" s="13" t="s">
        <v>47</v>
      </c>
    </row>
    <row r="2" customFormat="false" ht="19.5" hidden="false" customHeight="true" outlineLevel="0" collapsed="false">
      <c r="A2" s="14" t="s">
        <v>48</v>
      </c>
      <c r="B2" s="14"/>
      <c r="C2" s="14"/>
      <c r="D2" s="14"/>
      <c r="E2" s="14"/>
      <c r="F2" s="14"/>
      <c r="G2" s="14"/>
    </row>
    <row r="4" customFormat="false" ht="21.75" hidden="false" customHeight="true" outlineLevel="0" collapsed="false">
      <c r="A4" s="15" t="s">
        <v>49</v>
      </c>
      <c r="B4" s="15"/>
      <c r="C4" s="15"/>
      <c r="D4" s="15"/>
      <c r="E4" s="15"/>
      <c r="F4" s="15"/>
      <c r="G4" s="15"/>
    </row>
    <row r="5" customFormat="false" ht="27.75" hidden="false" customHeight="true" outlineLevel="0" collapsed="false">
      <c r="A5" s="4" t="s">
        <v>50</v>
      </c>
      <c r="B5" s="4" t="s">
        <v>51</v>
      </c>
      <c r="C5" s="4" t="s">
        <v>52</v>
      </c>
      <c r="D5" s="4" t="s">
        <v>53</v>
      </c>
      <c r="E5" s="4" t="s">
        <v>54</v>
      </c>
      <c r="F5" s="4" t="s">
        <v>55</v>
      </c>
      <c r="G5" s="4" t="s">
        <v>56</v>
      </c>
      <c r="H5" s="16" t="s">
        <v>57</v>
      </c>
      <c r="I5" s="16" t="s">
        <v>58</v>
      </c>
      <c r="J5" s="16" t="s">
        <v>59</v>
      </c>
      <c r="K5" s="16" t="s">
        <v>60</v>
      </c>
      <c r="L5" s="16" t="s">
        <v>61</v>
      </c>
      <c r="M5" s="16" t="s">
        <v>62</v>
      </c>
      <c r="N5" s="16" t="s">
        <v>63</v>
      </c>
      <c r="O5" s="16" t="s">
        <v>64</v>
      </c>
      <c r="P5" s="16" t="s">
        <v>28</v>
      </c>
      <c r="Q5" s="16" t="s">
        <v>65</v>
      </c>
    </row>
    <row r="6" customFormat="false" ht="19.5" hidden="false" customHeight="true" outlineLevel="0" collapsed="false">
      <c r="A6" s="5" t="s">
        <v>66</v>
      </c>
      <c r="B6" s="6" t="s">
        <v>67</v>
      </c>
      <c r="C6" s="5" t="s">
        <v>30</v>
      </c>
      <c r="D6" s="5" t="s">
        <v>68</v>
      </c>
      <c r="E6" s="5" t="s">
        <v>69</v>
      </c>
      <c r="F6" s="17"/>
      <c r="G6" s="6" t="s">
        <v>70</v>
      </c>
      <c r="H6" s="18" t="s">
        <v>71</v>
      </c>
      <c r="I6" s="18" t="s">
        <v>72</v>
      </c>
      <c r="J6" s="18" t="s">
        <v>73</v>
      </c>
      <c r="K6" s="18" t="s">
        <v>73</v>
      </c>
      <c r="L6" s="18" t="s">
        <v>11</v>
      </c>
      <c r="M6" s="18" t="s">
        <v>74</v>
      </c>
      <c r="N6" s="18" t="s">
        <v>74</v>
      </c>
      <c r="O6" s="18" t="s">
        <v>75</v>
      </c>
      <c r="P6" s="19"/>
      <c r="Q6" s="18" t="n">
        <v>1</v>
      </c>
    </row>
    <row r="7" customFormat="false" ht="19.5" hidden="false" customHeight="true" outlineLevel="0" collapsed="false">
      <c r="A7" s="20" t="s">
        <v>76</v>
      </c>
      <c r="B7" s="21" t="s">
        <v>77</v>
      </c>
      <c r="C7" s="20" t="s">
        <v>30</v>
      </c>
      <c r="D7" s="20" t="s">
        <v>68</v>
      </c>
      <c r="E7" s="20" t="s">
        <v>69</v>
      </c>
      <c r="F7" s="22"/>
      <c r="G7" s="21" t="s">
        <v>78</v>
      </c>
      <c r="H7" s="18" t="s">
        <v>71</v>
      </c>
      <c r="I7" s="18" t="s">
        <v>72</v>
      </c>
      <c r="J7" s="18" t="s">
        <v>73</v>
      </c>
      <c r="K7" s="18" t="s">
        <v>73</v>
      </c>
      <c r="L7" s="18" t="s">
        <v>73</v>
      </c>
      <c r="M7" s="18" t="s">
        <v>74</v>
      </c>
      <c r="N7" s="18" t="s">
        <v>74</v>
      </c>
      <c r="O7" s="18" t="s">
        <v>79</v>
      </c>
      <c r="P7" s="19"/>
      <c r="Q7" s="18" t="n">
        <v>1</v>
      </c>
    </row>
    <row r="8" customFormat="false" ht="19.5" hidden="false" customHeight="true" outlineLevel="0" collapsed="false">
      <c r="A8" s="5" t="s">
        <v>80</v>
      </c>
      <c r="B8" s="6" t="s">
        <v>81</v>
      </c>
      <c r="C8" s="5" t="s">
        <v>30</v>
      </c>
      <c r="D8" s="5" t="s">
        <v>82</v>
      </c>
      <c r="E8" s="5" t="s">
        <v>69</v>
      </c>
      <c r="F8" s="17"/>
      <c r="G8" s="6" t="s">
        <v>83</v>
      </c>
      <c r="H8" s="18" t="s">
        <v>71</v>
      </c>
      <c r="I8" s="18" t="s">
        <v>73</v>
      </c>
      <c r="J8" s="18" t="s">
        <v>73</v>
      </c>
      <c r="K8" s="18" t="s">
        <v>73</v>
      </c>
      <c r="L8" s="18" t="s">
        <v>73</v>
      </c>
      <c r="M8" s="18" t="s">
        <v>74</v>
      </c>
      <c r="N8" s="18" t="s">
        <v>74</v>
      </c>
      <c r="O8" s="18" t="s">
        <v>79</v>
      </c>
      <c r="P8" s="19"/>
      <c r="Q8" s="18" t="n">
        <v>1</v>
      </c>
    </row>
    <row r="9" customFormat="false" ht="19.5" hidden="false" customHeight="true" outlineLevel="0" collapsed="false">
      <c r="A9" s="20" t="s">
        <v>84</v>
      </c>
      <c r="B9" s="21" t="s">
        <v>85</v>
      </c>
      <c r="C9" s="20" t="s">
        <v>30</v>
      </c>
      <c r="D9" s="20" t="s">
        <v>86</v>
      </c>
      <c r="E9" s="20" t="s">
        <v>69</v>
      </c>
      <c r="F9" s="22"/>
      <c r="G9" s="21" t="s">
        <v>87</v>
      </c>
      <c r="H9" s="18" t="s">
        <v>71</v>
      </c>
      <c r="I9" s="18" t="s">
        <v>73</v>
      </c>
      <c r="J9" s="18" t="s">
        <v>73</v>
      </c>
      <c r="K9" s="18" t="s">
        <v>73</v>
      </c>
      <c r="L9" s="18" t="s">
        <v>88</v>
      </c>
      <c r="M9" s="18" t="s">
        <v>74</v>
      </c>
      <c r="N9" s="18" t="s">
        <v>74</v>
      </c>
      <c r="O9" s="18" t="s">
        <v>79</v>
      </c>
      <c r="P9" s="19"/>
      <c r="Q9" s="18" t="n">
        <v>1</v>
      </c>
    </row>
    <row r="11" customFormat="false" ht="21.75" hidden="false" customHeight="true" outlineLevel="0" collapsed="false">
      <c r="A11" s="15" t="s">
        <v>89</v>
      </c>
      <c r="B11" s="15"/>
      <c r="C11" s="15"/>
      <c r="D11" s="15"/>
      <c r="E11" s="15"/>
      <c r="F11" s="15"/>
      <c r="G11" s="15"/>
    </row>
    <row r="12" customFormat="false" ht="27.75" hidden="false" customHeight="true" outlineLevel="0" collapsed="false">
      <c r="A12" s="4" t="s">
        <v>50</v>
      </c>
      <c r="B12" s="4" t="s">
        <v>51</v>
      </c>
      <c r="C12" s="4" t="s">
        <v>52</v>
      </c>
      <c r="D12" s="4" t="s">
        <v>53</v>
      </c>
      <c r="E12" s="4" t="s">
        <v>54</v>
      </c>
      <c r="F12" s="4" t="s">
        <v>55</v>
      </c>
      <c r="G12" s="4" t="s">
        <v>56</v>
      </c>
      <c r="H12" s="16" t="s">
        <v>57</v>
      </c>
      <c r="I12" s="16" t="s">
        <v>58</v>
      </c>
      <c r="J12" s="16" t="s">
        <v>59</v>
      </c>
      <c r="K12" s="16" t="s">
        <v>60</v>
      </c>
      <c r="L12" s="16" t="s">
        <v>61</v>
      </c>
      <c r="M12" s="16" t="s">
        <v>62</v>
      </c>
      <c r="N12" s="16" t="s">
        <v>63</v>
      </c>
      <c r="O12" s="16" t="s">
        <v>64</v>
      </c>
      <c r="P12" s="16" t="s">
        <v>28</v>
      </c>
      <c r="Q12" s="16" t="s">
        <v>65</v>
      </c>
    </row>
    <row r="13" customFormat="false" ht="19.5" hidden="false" customHeight="true" outlineLevel="0" collapsed="false">
      <c r="A13" s="5" t="s">
        <v>90</v>
      </c>
      <c r="B13" s="6" t="s">
        <v>91</v>
      </c>
      <c r="C13" s="5" t="s">
        <v>33</v>
      </c>
      <c r="D13" s="5" t="s">
        <v>68</v>
      </c>
      <c r="E13" s="5" t="s">
        <v>69</v>
      </c>
      <c r="F13" s="17"/>
      <c r="G13" s="6" t="s">
        <v>92</v>
      </c>
      <c r="H13" s="18" t="s">
        <v>71</v>
      </c>
      <c r="I13" s="18" t="s">
        <v>72</v>
      </c>
      <c r="J13" s="18" t="s">
        <v>73</v>
      </c>
      <c r="K13" s="18" t="s">
        <v>73</v>
      </c>
      <c r="L13" s="18" t="s">
        <v>73</v>
      </c>
      <c r="M13" s="18" t="s">
        <v>74</v>
      </c>
      <c r="N13" s="18" t="s">
        <v>74</v>
      </c>
      <c r="O13" s="18" t="s">
        <v>75</v>
      </c>
      <c r="P13" s="19"/>
      <c r="Q13" s="18" t="n">
        <v>1</v>
      </c>
    </row>
    <row r="14" customFormat="false" ht="19.5" hidden="false" customHeight="true" outlineLevel="0" collapsed="false">
      <c r="A14" s="5" t="s">
        <v>93</v>
      </c>
      <c r="B14" s="6" t="s">
        <v>94</v>
      </c>
      <c r="C14" s="5" t="s">
        <v>33</v>
      </c>
      <c r="D14" s="5" t="s">
        <v>68</v>
      </c>
      <c r="E14" s="5" t="s">
        <v>69</v>
      </c>
      <c r="F14" s="17"/>
      <c r="G14" s="6" t="s">
        <v>95</v>
      </c>
      <c r="H14" s="18" t="s">
        <v>71</v>
      </c>
      <c r="I14" s="18" t="s">
        <v>72</v>
      </c>
      <c r="J14" s="18" t="s">
        <v>73</v>
      </c>
      <c r="K14" s="18" t="s">
        <v>73</v>
      </c>
      <c r="L14" s="18" t="s">
        <v>73</v>
      </c>
      <c r="M14" s="18" t="s">
        <v>96</v>
      </c>
      <c r="N14" s="18" t="s">
        <v>74</v>
      </c>
      <c r="O14" s="18" t="s">
        <v>75</v>
      </c>
      <c r="P14" s="19"/>
      <c r="Q14" s="18" t="n">
        <v>1</v>
      </c>
    </row>
    <row r="15" customFormat="false" ht="19.5" hidden="false" customHeight="true" outlineLevel="0" collapsed="false">
      <c r="A15" s="20" t="s">
        <v>97</v>
      </c>
      <c r="B15" s="21" t="s">
        <v>98</v>
      </c>
      <c r="C15" s="20" t="s">
        <v>33</v>
      </c>
      <c r="D15" s="20" t="s">
        <v>68</v>
      </c>
      <c r="E15" s="20" t="s">
        <v>69</v>
      </c>
      <c r="F15" s="22"/>
      <c r="G15" s="21" t="s">
        <v>99</v>
      </c>
      <c r="H15" s="18" t="s">
        <v>71</v>
      </c>
      <c r="I15" s="18" t="s">
        <v>72</v>
      </c>
      <c r="J15" s="18" t="s">
        <v>73</v>
      </c>
      <c r="K15" s="18" t="s">
        <v>73</v>
      </c>
      <c r="L15" s="18" t="s">
        <v>73</v>
      </c>
      <c r="M15" s="18" t="s">
        <v>96</v>
      </c>
      <c r="N15" s="18" t="s">
        <v>74</v>
      </c>
      <c r="O15" s="18" t="s">
        <v>75</v>
      </c>
      <c r="P15" s="19"/>
      <c r="Q15" s="18" t="n">
        <v>1</v>
      </c>
    </row>
    <row r="17" customFormat="false" ht="21.75" hidden="false" customHeight="true" outlineLevel="0" collapsed="false">
      <c r="A17" s="15" t="s">
        <v>100</v>
      </c>
      <c r="B17" s="15"/>
      <c r="C17" s="15"/>
      <c r="D17" s="15"/>
      <c r="E17" s="15"/>
      <c r="F17" s="15"/>
      <c r="G17" s="15"/>
    </row>
    <row r="18" customFormat="false" ht="27.75" hidden="false" customHeight="true" outlineLevel="0" collapsed="false">
      <c r="A18" s="4" t="s">
        <v>50</v>
      </c>
      <c r="B18" s="4" t="s">
        <v>51</v>
      </c>
      <c r="C18" s="4" t="s">
        <v>52</v>
      </c>
      <c r="D18" s="4" t="s">
        <v>53</v>
      </c>
      <c r="E18" s="4" t="s">
        <v>54</v>
      </c>
      <c r="F18" s="4" t="s">
        <v>55</v>
      </c>
      <c r="G18" s="4" t="s">
        <v>56</v>
      </c>
      <c r="H18" s="16" t="s">
        <v>57</v>
      </c>
      <c r="I18" s="16" t="s">
        <v>58</v>
      </c>
      <c r="J18" s="16" t="s">
        <v>59</v>
      </c>
      <c r="K18" s="16" t="s">
        <v>60</v>
      </c>
      <c r="L18" s="16" t="s">
        <v>61</v>
      </c>
      <c r="M18" s="16" t="s">
        <v>62</v>
      </c>
      <c r="N18" s="16" t="s">
        <v>63</v>
      </c>
      <c r="O18" s="16" t="s">
        <v>64</v>
      </c>
      <c r="P18" s="16" t="s">
        <v>28</v>
      </c>
      <c r="Q18" s="16" t="s">
        <v>65</v>
      </c>
    </row>
    <row r="19" customFormat="false" ht="19.5" hidden="false" customHeight="true" outlineLevel="0" collapsed="false">
      <c r="A19" s="5" t="s">
        <v>101</v>
      </c>
      <c r="B19" s="6" t="s">
        <v>102</v>
      </c>
      <c r="C19" s="5" t="s">
        <v>36</v>
      </c>
      <c r="D19" s="5" t="s">
        <v>68</v>
      </c>
      <c r="E19" s="5" t="s">
        <v>103</v>
      </c>
      <c r="F19" s="17"/>
      <c r="G19" s="6" t="s">
        <v>104</v>
      </c>
      <c r="H19" s="18" t="s">
        <v>71</v>
      </c>
      <c r="I19" s="18" t="s">
        <v>72</v>
      </c>
      <c r="J19" s="18" t="s">
        <v>73</v>
      </c>
      <c r="K19" s="18" t="s">
        <v>73</v>
      </c>
      <c r="L19" s="18" t="s">
        <v>73</v>
      </c>
      <c r="M19" s="18" t="s">
        <v>74</v>
      </c>
      <c r="N19" s="18" t="s">
        <v>74</v>
      </c>
      <c r="O19" s="18" t="s">
        <v>79</v>
      </c>
      <c r="P19" s="19"/>
      <c r="Q19" s="18" t="n">
        <v>1</v>
      </c>
    </row>
    <row r="20" customFormat="false" ht="19.5" hidden="false" customHeight="true" outlineLevel="0" collapsed="false">
      <c r="A20" s="20" t="s">
        <v>105</v>
      </c>
      <c r="B20" s="21" t="s">
        <v>106</v>
      </c>
      <c r="C20" s="20" t="s">
        <v>36</v>
      </c>
      <c r="D20" s="20" t="s">
        <v>82</v>
      </c>
      <c r="E20" s="20" t="s">
        <v>103</v>
      </c>
      <c r="F20" s="22"/>
      <c r="G20" s="21" t="s">
        <v>107</v>
      </c>
      <c r="H20" s="18" t="s">
        <v>71</v>
      </c>
      <c r="I20" s="18" t="s">
        <v>73</v>
      </c>
      <c r="J20" s="18" t="s">
        <v>73</v>
      </c>
      <c r="K20" s="18" t="s">
        <v>73</v>
      </c>
      <c r="L20" s="18" t="s">
        <v>73</v>
      </c>
      <c r="M20" s="18" t="s">
        <v>74</v>
      </c>
      <c r="N20" s="18" t="s">
        <v>74</v>
      </c>
      <c r="O20" s="18" t="s">
        <v>79</v>
      </c>
      <c r="P20" s="19"/>
      <c r="Q20" s="18" t="n">
        <v>1</v>
      </c>
    </row>
    <row r="21" customFormat="false" ht="19.5" hidden="false" customHeight="true" outlineLevel="0" collapsed="false">
      <c r="A21" s="5" t="s">
        <v>108</v>
      </c>
      <c r="B21" s="6" t="s">
        <v>109</v>
      </c>
      <c r="C21" s="5" t="s">
        <v>36</v>
      </c>
      <c r="D21" s="5" t="s">
        <v>68</v>
      </c>
      <c r="E21" s="5" t="s">
        <v>103</v>
      </c>
      <c r="F21" s="17"/>
      <c r="G21" s="6" t="s">
        <v>110</v>
      </c>
      <c r="H21" s="18" t="s">
        <v>71</v>
      </c>
      <c r="I21" s="18" t="s">
        <v>72</v>
      </c>
      <c r="J21" s="18" t="s">
        <v>73</v>
      </c>
      <c r="K21" s="18" t="s">
        <v>73</v>
      </c>
      <c r="L21" s="18" t="s">
        <v>73</v>
      </c>
      <c r="M21" s="18" t="s">
        <v>96</v>
      </c>
      <c r="N21" s="18" t="s">
        <v>74</v>
      </c>
      <c r="O21" s="18" t="s">
        <v>79</v>
      </c>
      <c r="P21" s="19"/>
      <c r="Q21" s="18" t="n">
        <v>1</v>
      </c>
    </row>
    <row r="22" customFormat="false" ht="19.5" hidden="false" customHeight="true" outlineLevel="0" collapsed="false">
      <c r="A22" s="20" t="s">
        <v>111</v>
      </c>
      <c r="B22" s="6" t="s">
        <v>112</v>
      </c>
      <c r="C22" s="5" t="s">
        <v>36</v>
      </c>
      <c r="D22" s="5" t="s">
        <v>68</v>
      </c>
      <c r="E22" s="5" t="s">
        <v>103</v>
      </c>
      <c r="F22" s="17"/>
      <c r="G22" s="6"/>
      <c r="H22" s="18" t="s">
        <v>71</v>
      </c>
      <c r="I22" s="18" t="s">
        <v>72</v>
      </c>
      <c r="J22" s="18" t="s">
        <v>73</v>
      </c>
      <c r="K22" s="18" t="s">
        <v>73</v>
      </c>
      <c r="L22" s="18" t="s">
        <v>73</v>
      </c>
      <c r="M22" s="18" t="s">
        <v>96</v>
      </c>
      <c r="N22" s="18" t="s">
        <v>74</v>
      </c>
      <c r="O22" s="18" t="s">
        <v>79</v>
      </c>
      <c r="P22" s="19"/>
      <c r="Q22" s="18" t="n">
        <v>1</v>
      </c>
    </row>
    <row r="23" customFormat="false" ht="19.5" hidden="false" customHeight="true" outlineLevel="0" collapsed="false">
      <c r="A23" s="5" t="s">
        <v>113</v>
      </c>
      <c r="B23" s="21" t="s">
        <v>114</v>
      </c>
      <c r="C23" s="20" t="s">
        <v>36</v>
      </c>
      <c r="D23" s="20" t="s">
        <v>115</v>
      </c>
      <c r="E23" s="20" t="s">
        <v>103</v>
      </c>
      <c r="F23" s="22"/>
      <c r="G23" s="21" t="s">
        <v>116</v>
      </c>
      <c r="H23" s="18" t="s">
        <v>71</v>
      </c>
      <c r="I23" s="18" t="s">
        <v>73</v>
      </c>
      <c r="J23" s="18" t="s">
        <v>73</v>
      </c>
      <c r="K23" s="18" t="s">
        <v>73</v>
      </c>
      <c r="L23" s="18" t="s">
        <v>73</v>
      </c>
      <c r="M23" s="18" t="s">
        <v>96</v>
      </c>
      <c r="N23" s="18" t="s">
        <v>74</v>
      </c>
      <c r="O23" s="18" t="s">
        <v>75</v>
      </c>
      <c r="P23" s="19"/>
      <c r="Q23" s="18" t="n">
        <v>1</v>
      </c>
    </row>
    <row r="25" customFormat="false" ht="21.75" hidden="false" customHeight="true" outlineLevel="0" collapsed="false">
      <c r="A25" s="15" t="s">
        <v>117</v>
      </c>
      <c r="B25" s="15"/>
      <c r="C25" s="15"/>
      <c r="D25" s="15"/>
      <c r="E25" s="15"/>
      <c r="F25" s="15"/>
      <c r="G25" s="15"/>
    </row>
    <row r="26" customFormat="false" ht="27.75" hidden="false" customHeight="true" outlineLevel="0" collapsed="false">
      <c r="A26" s="4" t="s">
        <v>50</v>
      </c>
      <c r="B26" s="4" t="s">
        <v>51</v>
      </c>
      <c r="C26" s="4" t="s">
        <v>52</v>
      </c>
      <c r="D26" s="4" t="s">
        <v>53</v>
      </c>
      <c r="E26" s="4" t="s">
        <v>54</v>
      </c>
      <c r="F26" s="4" t="s">
        <v>55</v>
      </c>
      <c r="G26" s="4" t="s">
        <v>56</v>
      </c>
      <c r="H26" s="16" t="s">
        <v>57</v>
      </c>
      <c r="I26" s="16" t="s">
        <v>58</v>
      </c>
      <c r="J26" s="16" t="s">
        <v>59</v>
      </c>
      <c r="K26" s="16" t="s">
        <v>60</v>
      </c>
      <c r="L26" s="16" t="s">
        <v>61</v>
      </c>
      <c r="M26" s="16" t="s">
        <v>62</v>
      </c>
      <c r="N26" s="16" t="s">
        <v>63</v>
      </c>
      <c r="O26" s="16" t="s">
        <v>64</v>
      </c>
      <c r="P26" s="16" t="s">
        <v>28</v>
      </c>
      <c r="Q26" s="16" t="s">
        <v>65</v>
      </c>
    </row>
    <row r="27" customFormat="false" ht="19.5" hidden="false" customHeight="true" outlineLevel="0" collapsed="false">
      <c r="A27" s="5" t="s">
        <v>118</v>
      </c>
      <c r="B27" s="6" t="s">
        <v>119</v>
      </c>
      <c r="C27" s="5" t="s">
        <v>39</v>
      </c>
      <c r="D27" s="5" t="s">
        <v>120</v>
      </c>
      <c r="E27" s="5" t="s">
        <v>103</v>
      </c>
      <c r="F27" s="17"/>
      <c r="G27" s="6" t="s">
        <v>121</v>
      </c>
      <c r="H27" s="18" t="s">
        <v>71</v>
      </c>
      <c r="I27" s="18" t="s">
        <v>73</v>
      </c>
      <c r="J27" s="18" t="s">
        <v>73</v>
      </c>
      <c r="K27" s="18" t="s">
        <v>73</v>
      </c>
      <c r="L27" s="18" t="s">
        <v>73</v>
      </c>
      <c r="M27" s="18" t="s">
        <v>74</v>
      </c>
      <c r="N27" s="18" t="s">
        <v>74</v>
      </c>
      <c r="O27" s="18" t="s">
        <v>79</v>
      </c>
      <c r="P27" s="19"/>
      <c r="Q27" s="18" t="n">
        <v>1</v>
      </c>
    </row>
    <row r="28" customFormat="false" ht="19.5" hidden="false" customHeight="true" outlineLevel="0" collapsed="false">
      <c r="A28" s="20" t="s">
        <v>122</v>
      </c>
      <c r="B28" s="21" t="s">
        <v>123</v>
      </c>
      <c r="C28" s="20" t="s">
        <v>39</v>
      </c>
      <c r="D28" s="20" t="s">
        <v>68</v>
      </c>
      <c r="E28" s="20" t="s">
        <v>103</v>
      </c>
      <c r="F28" s="22"/>
      <c r="G28" s="21" t="s">
        <v>124</v>
      </c>
      <c r="H28" s="18" t="s">
        <v>71</v>
      </c>
      <c r="I28" s="18" t="s">
        <v>72</v>
      </c>
      <c r="J28" s="18" t="s">
        <v>73</v>
      </c>
      <c r="K28" s="18" t="s">
        <v>73</v>
      </c>
      <c r="L28" s="18" t="s">
        <v>73</v>
      </c>
      <c r="M28" s="18" t="s">
        <v>96</v>
      </c>
      <c r="N28" s="18" t="s">
        <v>74</v>
      </c>
      <c r="O28" s="18" t="s">
        <v>75</v>
      </c>
      <c r="P28" s="19"/>
      <c r="Q28" s="18" t="n">
        <v>1</v>
      </c>
    </row>
    <row r="29" customFormat="false" ht="19.5" hidden="false" customHeight="true" outlineLevel="0" collapsed="false">
      <c r="A29" s="5" t="s">
        <v>125</v>
      </c>
      <c r="B29" s="6" t="s">
        <v>126</v>
      </c>
      <c r="C29" s="5" t="s">
        <v>39</v>
      </c>
      <c r="D29" s="5" t="s">
        <v>127</v>
      </c>
      <c r="E29" s="5" t="s">
        <v>103</v>
      </c>
      <c r="F29" s="23"/>
      <c r="G29" s="6" t="s">
        <v>128</v>
      </c>
      <c r="H29" s="18" t="s">
        <v>71</v>
      </c>
      <c r="I29" s="18" t="s">
        <v>73</v>
      </c>
      <c r="J29" s="18" t="s">
        <v>73</v>
      </c>
      <c r="K29" s="18" t="s">
        <v>73</v>
      </c>
      <c r="L29" s="18" t="s">
        <v>73</v>
      </c>
      <c r="M29" s="18" t="s">
        <v>96</v>
      </c>
      <c r="N29" s="18" t="s">
        <v>96</v>
      </c>
      <c r="O29" s="18" t="s">
        <v>75</v>
      </c>
      <c r="P29" s="19"/>
      <c r="Q29" s="18" t="n">
        <v>1</v>
      </c>
    </row>
    <row r="30" customFormat="false" ht="19.5" hidden="false" customHeight="true" outlineLevel="0" collapsed="false">
      <c r="A30" s="20" t="s">
        <v>129</v>
      </c>
      <c r="B30" s="0" t="s">
        <v>130</v>
      </c>
      <c r="C30" s="0" t="s">
        <v>39</v>
      </c>
      <c r="D30" s="5" t="s">
        <v>131</v>
      </c>
      <c r="F30" s="24"/>
      <c r="G30" s="0" t="s">
        <v>128</v>
      </c>
      <c r="H30" s="18" t="s">
        <v>71</v>
      </c>
      <c r="I30" s="18" t="s">
        <v>73</v>
      </c>
      <c r="J30" s="18" t="s">
        <v>73</v>
      </c>
      <c r="K30" s="18" t="s">
        <v>73</v>
      </c>
      <c r="L30" s="18" t="s">
        <v>73</v>
      </c>
      <c r="M30" s="18" t="s">
        <v>96</v>
      </c>
      <c r="N30" s="18" t="s">
        <v>96</v>
      </c>
      <c r="O30" s="18" t="s">
        <v>75</v>
      </c>
      <c r="P30" s="19"/>
      <c r="Q30" s="18" t="n">
        <v>1</v>
      </c>
    </row>
    <row r="31" customFormat="false" ht="19.5" hidden="false" customHeight="true" outlineLevel="0" collapsed="false">
      <c r="A31" s="5" t="s">
        <v>132</v>
      </c>
      <c r="B31" s="21" t="s">
        <v>133</v>
      </c>
      <c r="C31" s="20" t="s">
        <v>39</v>
      </c>
      <c r="D31" s="20" t="s">
        <v>134</v>
      </c>
      <c r="E31" s="20" t="s">
        <v>103</v>
      </c>
      <c r="F31" s="22"/>
      <c r="G31" s="21" t="s">
        <v>135</v>
      </c>
      <c r="H31" s="18" t="s">
        <v>71</v>
      </c>
      <c r="I31" s="18" t="s">
        <v>73</v>
      </c>
      <c r="J31" s="18" t="s">
        <v>73</v>
      </c>
      <c r="K31" s="18" t="s">
        <v>135</v>
      </c>
      <c r="L31" s="18" t="s">
        <v>73</v>
      </c>
      <c r="M31" s="18" t="s">
        <v>96</v>
      </c>
      <c r="N31" s="18" t="s">
        <v>74</v>
      </c>
      <c r="O31" s="18" t="s">
        <v>75</v>
      </c>
      <c r="P31" s="19"/>
      <c r="Q31" s="18" t="n">
        <v>1</v>
      </c>
    </row>
    <row r="32" customFormat="false" ht="19.5" hidden="false" customHeight="true" outlineLevel="0" collapsed="false">
      <c r="A32" s="20" t="s">
        <v>136</v>
      </c>
      <c r="B32" s="25" t="s">
        <v>137</v>
      </c>
      <c r="C32" s="20" t="s">
        <v>39</v>
      </c>
      <c r="D32" s="26" t="s">
        <v>120</v>
      </c>
      <c r="E32" s="26" t="s">
        <v>103</v>
      </c>
      <c r="F32" s="27"/>
      <c r="G32" s="25"/>
      <c r="H32" s="18" t="s">
        <v>71</v>
      </c>
      <c r="I32" s="18" t="s">
        <v>73</v>
      </c>
      <c r="J32" s="18" t="s">
        <v>73</v>
      </c>
      <c r="K32" s="18" t="s">
        <v>73</v>
      </c>
      <c r="L32" s="18" t="s">
        <v>73</v>
      </c>
      <c r="M32" s="18" t="s">
        <v>96</v>
      </c>
      <c r="N32" s="18" t="s">
        <v>74</v>
      </c>
      <c r="O32" s="18" t="s">
        <v>79</v>
      </c>
      <c r="P32" s="19"/>
      <c r="Q32" s="18" t="n">
        <v>1</v>
      </c>
    </row>
    <row r="33" customFormat="false" ht="19.5" hidden="false" customHeight="true" outlineLevel="0" collapsed="false">
      <c r="A33" s="5" t="s">
        <v>138</v>
      </c>
      <c r="B33" s="25" t="s">
        <v>139</v>
      </c>
      <c r="C33" s="26" t="s">
        <v>39</v>
      </c>
      <c r="D33" s="26" t="s">
        <v>82</v>
      </c>
      <c r="E33" s="26" t="s">
        <v>103</v>
      </c>
      <c r="F33" s="27"/>
      <c r="G33" s="25"/>
      <c r="H33" s="18" t="s">
        <v>71</v>
      </c>
      <c r="I33" s="18" t="s">
        <v>73</v>
      </c>
      <c r="J33" s="18" t="s">
        <v>73</v>
      </c>
      <c r="K33" s="18" t="s">
        <v>73</v>
      </c>
      <c r="L33" s="18" t="s">
        <v>73</v>
      </c>
      <c r="M33" s="18" t="s">
        <v>96</v>
      </c>
      <c r="N33" s="18" t="s">
        <v>74</v>
      </c>
      <c r="O33" s="18" t="s">
        <v>79</v>
      </c>
      <c r="P33" s="19"/>
      <c r="Q33" s="18" t="n">
        <v>1</v>
      </c>
    </row>
    <row r="34" customFormat="false" ht="19.5" hidden="false" customHeight="true" outlineLevel="0" collapsed="false">
      <c r="A34" s="20" t="s">
        <v>140</v>
      </c>
      <c r="B34" s="25" t="s">
        <v>141</v>
      </c>
      <c r="C34" s="26" t="s">
        <v>39</v>
      </c>
      <c r="D34" s="26" t="s">
        <v>82</v>
      </c>
      <c r="E34" s="26" t="s">
        <v>103</v>
      </c>
      <c r="F34" s="27"/>
      <c r="G34" s="25"/>
      <c r="H34" s="18" t="s">
        <v>71</v>
      </c>
      <c r="I34" s="18" t="s">
        <v>73</v>
      </c>
      <c r="J34" s="18" t="s">
        <v>73</v>
      </c>
      <c r="K34" s="18" t="s">
        <v>73</v>
      </c>
      <c r="L34" s="18" t="s">
        <v>73</v>
      </c>
      <c r="M34" s="18" t="s">
        <v>96</v>
      </c>
      <c r="N34" s="18" t="s">
        <v>74</v>
      </c>
      <c r="O34" s="18" t="s">
        <v>79</v>
      </c>
      <c r="P34" s="19"/>
      <c r="Q34" s="18" t="n">
        <v>1</v>
      </c>
    </row>
    <row r="36" customFormat="false" ht="21.75" hidden="false" customHeight="true" outlineLevel="0" collapsed="false">
      <c r="A36" s="15" t="s">
        <v>142</v>
      </c>
      <c r="B36" s="15"/>
      <c r="C36" s="15"/>
      <c r="D36" s="15"/>
      <c r="E36" s="15"/>
      <c r="F36" s="15"/>
      <c r="G36" s="15"/>
    </row>
    <row r="37" customFormat="false" ht="27.75" hidden="false" customHeight="true" outlineLevel="0" collapsed="false">
      <c r="A37" s="4" t="s">
        <v>50</v>
      </c>
      <c r="B37" s="4" t="s">
        <v>51</v>
      </c>
      <c r="C37" s="4" t="s">
        <v>52</v>
      </c>
      <c r="D37" s="4" t="s">
        <v>53</v>
      </c>
      <c r="E37" s="4" t="s">
        <v>54</v>
      </c>
      <c r="F37" s="4" t="s">
        <v>55</v>
      </c>
      <c r="G37" s="4" t="s">
        <v>56</v>
      </c>
      <c r="H37" s="16" t="s">
        <v>57</v>
      </c>
      <c r="I37" s="16" t="s">
        <v>58</v>
      </c>
      <c r="J37" s="16" t="s">
        <v>59</v>
      </c>
      <c r="K37" s="16" t="s">
        <v>60</v>
      </c>
      <c r="L37" s="16" t="s">
        <v>61</v>
      </c>
      <c r="M37" s="16" t="s">
        <v>62</v>
      </c>
      <c r="N37" s="16" t="s">
        <v>63</v>
      </c>
      <c r="O37" s="16" t="s">
        <v>64</v>
      </c>
      <c r="P37" s="16" t="s">
        <v>28</v>
      </c>
      <c r="Q37" s="16" t="s">
        <v>65</v>
      </c>
    </row>
    <row r="38" customFormat="false" ht="19.5" hidden="false" customHeight="true" outlineLevel="0" collapsed="false">
      <c r="A38" s="5" t="s">
        <v>143</v>
      </c>
      <c r="B38" s="6" t="s">
        <v>144</v>
      </c>
      <c r="C38" s="5" t="s">
        <v>41</v>
      </c>
      <c r="D38" s="5" t="s">
        <v>145</v>
      </c>
      <c r="E38" s="5" t="s">
        <v>103</v>
      </c>
      <c r="F38" s="17"/>
      <c r="G38" s="6" t="s">
        <v>146</v>
      </c>
      <c r="H38" s="18" t="s">
        <v>71</v>
      </c>
      <c r="I38" s="18" t="s">
        <v>73</v>
      </c>
      <c r="J38" s="18" t="s">
        <v>73</v>
      </c>
      <c r="K38" s="18" t="s">
        <v>73</v>
      </c>
      <c r="L38" s="18" t="s">
        <v>73</v>
      </c>
      <c r="M38" s="18" t="s">
        <v>74</v>
      </c>
      <c r="N38" s="18" t="s">
        <v>74</v>
      </c>
      <c r="O38" s="18" t="s">
        <v>75</v>
      </c>
      <c r="P38" s="19"/>
      <c r="Q38" s="18" t="n">
        <v>1</v>
      </c>
    </row>
    <row r="39" customFormat="false" ht="19.5" hidden="false" customHeight="true" outlineLevel="0" collapsed="false">
      <c r="A39" s="20" t="s">
        <v>147</v>
      </c>
      <c r="B39" s="21" t="s">
        <v>148</v>
      </c>
      <c r="C39" s="20" t="s">
        <v>41</v>
      </c>
      <c r="D39" s="20" t="s">
        <v>145</v>
      </c>
      <c r="E39" s="20" t="s">
        <v>103</v>
      </c>
      <c r="F39" s="22"/>
      <c r="G39" s="21" t="s">
        <v>149</v>
      </c>
      <c r="H39" s="18" t="s">
        <v>71</v>
      </c>
      <c r="I39" s="18" t="s">
        <v>73</v>
      </c>
      <c r="J39" s="18" t="s">
        <v>73</v>
      </c>
      <c r="K39" s="18" t="s">
        <v>73</v>
      </c>
      <c r="L39" s="18" t="s">
        <v>73</v>
      </c>
      <c r="M39" s="18" t="s">
        <v>96</v>
      </c>
      <c r="N39" s="18" t="s">
        <v>74</v>
      </c>
      <c r="O39" s="18" t="s">
        <v>75</v>
      </c>
      <c r="P39" s="19"/>
      <c r="Q39" s="18" t="n">
        <v>1</v>
      </c>
    </row>
    <row r="40" customFormat="false" ht="19.5" hidden="false" customHeight="true" outlineLevel="0" collapsed="false">
      <c r="A40" s="5" t="s">
        <v>150</v>
      </c>
      <c r="B40" s="6" t="s">
        <v>151</v>
      </c>
      <c r="C40" s="5" t="s">
        <v>41</v>
      </c>
      <c r="D40" s="5" t="s">
        <v>115</v>
      </c>
      <c r="E40" s="5" t="s">
        <v>103</v>
      </c>
      <c r="F40" s="17"/>
      <c r="G40" s="6" t="s">
        <v>152</v>
      </c>
      <c r="H40" s="18" t="s">
        <v>71</v>
      </c>
      <c r="I40" s="18" t="s">
        <v>73</v>
      </c>
      <c r="J40" s="18" t="s">
        <v>73</v>
      </c>
      <c r="K40" s="18" t="s">
        <v>73</v>
      </c>
      <c r="L40" s="18" t="s">
        <v>73</v>
      </c>
      <c r="M40" s="18" t="s">
        <v>96</v>
      </c>
      <c r="N40" s="18" t="s">
        <v>74</v>
      </c>
      <c r="O40" s="18" t="s">
        <v>75</v>
      </c>
      <c r="P40" s="19"/>
      <c r="Q40" s="18" t="n">
        <v>1</v>
      </c>
    </row>
    <row r="41" customFormat="false" ht="19.5" hidden="false" customHeight="true" outlineLevel="0" collapsed="false">
      <c r="A41" s="5" t="s">
        <v>153</v>
      </c>
      <c r="B41" s="28" t="s">
        <v>154</v>
      </c>
      <c r="C41" s="29"/>
      <c r="D41" s="29" t="s">
        <v>145</v>
      </c>
      <c r="E41" s="29" t="s">
        <v>103</v>
      </c>
      <c r="F41" s="30"/>
      <c r="G41" s="28"/>
      <c r="H41" s="18" t="s">
        <v>71</v>
      </c>
      <c r="I41" s="18" t="s">
        <v>73</v>
      </c>
      <c r="J41" s="18" t="s">
        <v>73</v>
      </c>
      <c r="K41" s="18" t="s">
        <v>73</v>
      </c>
      <c r="L41" s="18" t="s">
        <v>73</v>
      </c>
      <c r="M41" s="18" t="s">
        <v>96</v>
      </c>
      <c r="N41" s="18" t="s">
        <v>74</v>
      </c>
      <c r="O41" s="18" t="s">
        <v>79</v>
      </c>
      <c r="P41" s="19"/>
      <c r="Q41" s="18" t="n">
        <v>1</v>
      </c>
    </row>
    <row r="43" customFormat="false" ht="21.75" hidden="false" customHeight="true" outlineLevel="0" collapsed="false">
      <c r="A43" s="15" t="s">
        <v>155</v>
      </c>
      <c r="B43" s="15"/>
      <c r="C43" s="15"/>
      <c r="D43" s="15"/>
      <c r="E43" s="15"/>
      <c r="F43" s="15"/>
      <c r="G43" s="15"/>
    </row>
    <row r="44" customFormat="false" ht="27.75" hidden="false" customHeight="true" outlineLevel="0" collapsed="false">
      <c r="A44" s="4" t="s">
        <v>50</v>
      </c>
      <c r="B44" s="4" t="s">
        <v>51</v>
      </c>
      <c r="C44" s="4" t="s">
        <v>52</v>
      </c>
      <c r="D44" s="4" t="s">
        <v>53</v>
      </c>
      <c r="E44" s="4" t="s">
        <v>54</v>
      </c>
      <c r="F44" s="4" t="s">
        <v>55</v>
      </c>
      <c r="G44" s="4" t="s">
        <v>56</v>
      </c>
      <c r="H44" s="16" t="s">
        <v>57</v>
      </c>
      <c r="I44" s="16" t="s">
        <v>58</v>
      </c>
      <c r="J44" s="16" t="s">
        <v>59</v>
      </c>
      <c r="K44" s="16" t="s">
        <v>60</v>
      </c>
      <c r="L44" s="16" t="s">
        <v>61</v>
      </c>
      <c r="M44" s="16" t="s">
        <v>62</v>
      </c>
      <c r="N44" s="16" t="s">
        <v>63</v>
      </c>
      <c r="O44" s="16" t="s">
        <v>64</v>
      </c>
      <c r="P44" s="16" t="s">
        <v>28</v>
      </c>
      <c r="Q44" s="16" t="s">
        <v>65</v>
      </c>
    </row>
    <row r="45" customFormat="false" ht="19.5" hidden="false" customHeight="true" outlineLevel="0" collapsed="false">
      <c r="A45" s="5" t="s">
        <v>156</v>
      </c>
      <c r="B45" s="6" t="s">
        <v>157</v>
      </c>
      <c r="C45" s="5" t="s">
        <v>43</v>
      </c>
      <c r="D45" s="5" t="s">
        <v>158</v>
      </c>
      <c r="E45" s="5" t="s">
        <v>69</v>
      </c>
      <c r="F45" s="23" t="n">
        <v>0.0035</v>
      </c>
      <c r="G45" s="6" t="s">
        <v>159</v>
      </c>
      <c r="H45" s="18" t="s">
        <v>71</v>
      </c>
      <c r="I45" s="18" t="s">
        <v>73</v>
      </c>
      <c r="J45" s="18" t="s">
        <v>73</v>
      </c>
      <c r="K45" s="18" t="s">
        <v>73</v>
      </c>
      <c r="L45" s="18" t="s">
        <v>73</v>
      </c>
      <c r="M45" s="18" t="s">
        <v>96</v>
      </c>
      <c r="N45" s="18" t="s">
        <v>74</v>
      </c>
      <c r="O45" s="18" t="s">
        <v>75</v>
      </c>
      <c r="P45" s="19"/>
      <c r="Q45" s="18" t="n">
        <v>1</v>
      </c>
    </row>
  </sheetData>
  <mergeCells count="8">
    <mergeCell ref="A1:G1"/>
    <mergeCell ref="A2:G2"/>
    <mergeCell ref="A4:G4"/>
    <mergeCell ref="A11:G11"/>
    <mergeCell ref="A17:G17"/>
    <mergeCell ref="A25:G25"/>
    <mergeCell ref="A36:G36"/>
    <mergeCell ref="A43:G43"/>
  </mergeCells>
  <dataValidations count="6">
    <dataValidation allowBlank="true" errorStyle="stop" operator="between" showDropDown="false" showErrorMessage="false" showInputMessage="false" sqref="H5:H195" type="list">
      <formula1>"ALL,Import,Export"</formula1>
      <formula2>0</formula2>
    </dataValidation>
    <dataValidation allowBlank="true" errorStyle="stop" operator="between" showDropDown="false" showErrorMessage="false" showInputMessage="false" sqref="I5:I195" type="list">
      <formula1>"ALL,FCL,LCL,FTL,LTL"</formula1>
      <formula2>0</formula2>
    </dataValidation>
    <dataValidation allowBlank="true" errorStyle="stop" operator="between" showDropDown="false" showErrorMessage="false" showInputMessage="false" sqref="J5:J195" type="list">
      <formula1>"ALL,Palletized,Loose,Mixed"</formula1>
      <formula2>0</formula2>
    </dataValidation>
    <dataValidation allowBlank="true" errorStyle="stop" operator="between" showDropDown="false" showErrorMessage="false" showInputMessage="false" sqref="K5:K195" type="list">
      <formula1>"ALL,General,Refrigerated,OOG,Dangerous,Other"</formula1>
      <formula2>0</formula2>
    </dataValidation>
    <dataValidation allowBlank="true" errorStyle="stop" operator="between" showDropDown="false" showErrorMessage="false" showInputMessage="false" sqref="M5:N195" type="list">
      <formula1>"Y,N"</formula1>
      <formula2>0</formula2>
    </dataValidation>
    <dataValidation allowBlank="true" errorStyle="stop" operator="between" showDropDown="false" showErrorMessage="false" showInputMessage="false" sqref="O5:O195" type="list">
      <formula1>"Auto,Editable"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8" activeCellId="0" sqref="F38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47"/>
    <col collapsed="false" customWidth="true" hidden="false" outlineLevel="0" max="3" min="3" style="0" width="24"/>
    <col collapsed="false" customWidth="true" hidden="false" outlineLevel="0" max="4" min="4" style="0" width="25"/>
    <col collapsed="false" customWidth="true" hidden="false" outlineLevel="0" max="5" min="5" style="0" width="13"/>
    <col collapsed="false" customWidth="true" hidden="false" outlineLevel="0" max="6" min="6" style="0" width="19"/>
    <col collapsed="false" customWidth="true" hidden="false" outlineLevel="0" max="7" min="7" style="0" width="31"/>
    <col collapsed="false" customWidth="true" hidden="false" outlineLevel="0" max="9" min="8" style="0" width="11"/>
    <col collapsed="false" customWidth="true" hidden="false" outlineLevel="0" max="10" min="10" style="0" width="13"/>
    <col collapsed="false" customWidth="true" hidden="false" outlineLevel="0" max="12" min="11" style="0" width="14"/>
    <col collapsed="false" customWidth="true" hidden="false" outlineLevel="0" max="14" min="13" style="0" width="11"/>
    <col collapsed="false" customWidth="true" hidden="false" outlineLevel="0" max="15" min="15" style="0" width="13"/>
    <col collapsed="false" customWidth="true" hidden="false" outlineLevel="0" max="16" min="16" style="0" width="10"/>
    <col collapsed="false" customWidth="true" hidden="false" outlineLevel="0" max="17" min="17" style="0" width="11"/>
  </cols>
  <sheetData>
    <row r="1" customFormat="false" ht="30" hidden="false" customHeight="true" outlineLevel="0" collapsed="false">
      <c r="A1" s="1" t="s">
        <v>160</v>
      </c>
      <c r="B1" s="1"/>
      <c r="C1" s="1"/>
      <c r="D1" s="1"/>
      <c r="E1" s="1"/>
      <c r="F1" s="1"/>
      <c r="G1" s="1"/>
      <c r="I1" s="13" t="s">
        <v>47</v>
      </c>
    </row>
    <row r="2" customFormat="false" ht="19.5" hidden="false" customHeight="true" outlineLevel="0" collapsed="false">
      <c r="A2" s="14" t="s">
        <v>161</v>
      </c>
      <c r="B2" s="14"/>
      <c r="C2" s="14"/>
      <c r="D2" s="14"/>
      <c r="E2" s="14"/>
      <c r="F2" s="14"/>
      <c r="G2" s="14"/>
    </row>
    <row r="4" customFormat="false" ht="21.75" hidden="false" customHeight="true" outlineLevel="0" collapsed="false">
      <c r="A4" s="15" t="s">
        <v>49</v>
      </c>
      <c r="B4" s="15"/>
      <c r="C4" s="15"/>
      <c r="D4" s="15"/>
      <c r="E4" s="15"/>
      <c r="F4" s="15"/>
      <c r="G4" s="15"/>
    </row>
    <row r="5" customFormat="false" ht="27.75" hidden="false" customHeight="true" outlineLevel="0" collapsed="false">
      <c r="A5" s="4" t="s">
        <v>50</v>
      </c>
      <c r="B5" s="4" t="s">
        <v>51</v>
      </c>
      <c r="C5" s="4" t="s">
        <v>52</v>
      </c>
      <c r="D5" s="4" t="s">
        <v>53</v>
      </c>
      <c r="E5" s="4" t="s">
        <v>54</v>
      </c>
      <c r="F5" s="4" t="s">
        <v>55</v>
      </c>
      <c r="G5" s="4" t="s">
        <v>56</v>
      </c>
      <c r="H5" s="16" t="s">
        <v>57</v>
      </c>
      <c r="I5" s="16" t="s">
        <v>58</v>
      </c>
      <c r="J5" s="16" t="s">
        <v>59</v>
      </c>
      <c r="K5" s="16" t="s">
        <v>60</v>
      </c>
      <c r="L5" s="16" t="s">
        <v>61</v>
      </c>
      <c r="M5" s="16" t="s">
        <v>62</v>
      </c>
      <c r="N5" s="16" t="s">
        <v>63</v>
      </c>
      <c r="O5" s="16" t="s">
        <v>64</v>
      </c>
      <c r="P5" s="16" t="s">
        <v>28</v>
      </c>
      <c r="Q5" s="16" t="s">
        <v>65</v>
      </c>
    </row>
    <row r="6" customFormat="false" ht="19.5" hidden="false" customHeight="true" outlineLevel="0" collapsed="false">
      <c r="A6" s="5" t="s">
        <v>162</v>
      </c>
      <c r="B6" s="6" t="s">
        <v>163</v>
      </c>
      <c r="C6" s="5" t="s">
        <v>30</v>
      </c>
      <c r="D6" s="5" t="s">
        <v>164</v>
      </c>
      <c r="E6" s="5" t="s">
        <v>103</v>
      </c>
      <c r="F6" s="17"/>
      <c r="G6" s="6" t="s">
        <v>165</v>
      </c>
      <c r="H6" s="18" t="s">
        <v>166</v>
      </c>
      <c r="I6" s="18" t="s">
        <v>72</v>
      </c>
      <c r="J6" s="18" t="s">
        <v>73</v>
      </c>
      <c r="K6" s="18" t="s">
        <v>73</v>
      </c>
      <c r="L6" s="18" t="s">
        <v>73</v>
      </c>
      <c r="M6" s="18" t="s">
        <v>74</v>
      </c>
      <c r="N6" s="18" t="s">
        <v>74</v>
      </c>
      <c r="O6" s="18" t="s">
        <v>75</v>
      </c>
      <c r="P6" s="19"/>
      <c r="Q6" s="18" t="n">
        <v>1</v>
      </c>
    </row>
    <row r="7" customFormat="false" ht="19.5" hidden="false" customHeight="true" outlineLevel="0" collapsed="false">
      <c r="A7" s="20" t="s">
        <v>167</v>
      </c>
      <c r="B7" s="21" t="s">
        <v>168</v>
      </c>
      <c r="C7" s="20" t="s">
        <v>30</v>
      </c>
      <c r="D7" s="20" t="s">
        <v>68</v>
      </c>
      <c r="E7" s="20" t="s">
        <v>103</v>
      </c>
      <c r="F7" s="22"/>
      <c r="G7" s="21" t="s">
        <v>169</v>
      </c>
      <c r="H7" s="18" t="s">
        <v>166</v>
      </c>
      <c r="I7" s="18" t="s">
        <v>72</v>
      </c>
      <c r="J7" s="18" t="s">
        <v>73</v>
      </c>
      <c r="K7" s="18" t="s">
        <v>73</v>
      </c>
      <c r="L7" s="18" t="s">
        <v>73</v>
      </c>
      <c r="M7" s="18" t="s">
        <v>74</v>
      </c>
      <c r="N7" s="18" t="s">
        <v>74</v>
      </c>
      <c r="O7" s="18" t="s">
        <v>79</v>
      </c>
      <c r="P7" s="19"/>
      <c r="Q7" s="18" t="n">
        <v>1</v>
      </c>
    </row>
    <row r="8" customFormat="false" ht="19.5" hidden="false" customHeight="true" outlineLevel="0" collapsed="false">
      <c r="A8" s="5" t="s">
        <v>170</v>
      </c>
      <c r="B8" s="6" t="s">
        <v>171</v>
      </c>
      <c r="C8" s="5" t="s">
        <v>30</v>
      </c>
      <c r="D8" s="5" t="s">
        <v>82</v>
      </c>
      <c r="E8" s="5" t="s">
        <v>103</v>
      </c>
      <c r="F8" s="17"/>
      <c r="G8" s="6" t="s">
        <v>172</v>
      </c>
      <c r="H8" s="18" t="s">
        <v>166</v>
      </c>
      <c r="I8" s="18" t="s">
        <v>73</v>
      </c>
      <c r="J8" s="18" t="s">
        <v>73</v>
      </c>
      <c r="K8" s="18" t="s">
        <v>73</v>
      </c>
      <c r="L8" s="18" t="s">
        <v>73</v>
      </c>
      <c r="M8" s="18" t="s">
        <v>74</v>
      </c>
      <c r="N8" s="18" t="s">
        <v>74</v>
      </c>
      <c r="O8" s="18" t="s">
        <v>79</v>
      </c>
      <c r="P8" s="19"/>
      <c r="Q8" s="18" t="n">
        <v>1</v>
      </c>
    </row>
    <row r="9" customFormat="false" ht="19.5" hidden="false" customHeight="true" outlineLevel="0" collapsed="false">
      <c r="A9" s="20" t="s">
        <v>173</v>
      </c>
      <c r="B9" s="21" t="s">
        <v>174</v>
      </c>
      <c r="C9" s="20" t="s">
        <v>30</v>
      </c>
      <c r="D9" s="20" t="s">
        <v>175</v>
      </c>
      <c r="E9" s="20" t="s">
        <v>103</v>
      </c>
      <c r="F9" s="22"/>
      <c r="G9" s="21" t="s">
        <v>176</v>
      </c>
      <c r="H9" s="18" t="s">
        <v>166</v>
      </c>
      <c r="I9" s="18" t="s">
        <v>73</v>
      </c>
      <c r="J9" s="18" t="s">
        <v>73</v>
      </c>
      <c r="K9" s="18" t="s">
        <v>73</v>
      </c>
      <c r="L9" s="18" t="s">
        <v>73</v>
      </c>
      <c r="M9" s="18" t="s">
        <v>74</v>
      </c>
      <c r="N9" s="18" t="s">
        <v>74</v>
      </c>
      <c r="O9" s="18" t="s">
        <v>79</v>
      </c>
      <c r="P9" s="19"/>
      <c r="Q9" s="18" t="n">
        <v>1</v>
      </c>
    </row>
    <row r="10" customFormat="false" ht="19.5" hidden="false" customHeight="true" outlineLevel="0" collapsed="false">
      <c r="A10" s="20" t="s">
        <v>177</v>
      </c>
      <c r="B10" s="25" t="s">
        <v>112</v>
      </c>
      <c r="C10" s="26"/>
      <c r="D10" s="26"/>
      <c r="E10" s="26"/>
      <c r="F10" s="27"/>
      <c r="G10" s="25"/>
      <c r="H10" s="18" t="s">
        <v>166</v>
      </c>
      <c r="I10" s="18" t="s">
        <v>73</v>
      </c>
      <c r="J10" s="18" t="s">
        <v>73</v>
      </c>
      <c r="K10" s="18" t="s">
        <v>73</v>
      </c>
      <c r="L10" s="18" t="s">
        <v>73</v>
      </c>
      <c r="M10" s="18" t="s">
        <v>96</v>
      </c>
      <c r="N10" s="18" t="s">
        <v>74</v>
      </c>
      <c r="O10" s="18" t="s">
        <v>79</v>
      </c>
      <c r="P10" s="19"/>
      <c r="Q10" s="18" t="n">
        <v>1</v>
      </c>
    </row>
    <row r="11" customFormat="false" ht="19.5" hidden="false" customHeight="true" outlineLevel="0" collapsed="false">
      <c r="A11" s="5" t="s">
        <v>178</v>
      </c>
      <c r="B11" s="25" t="s">
        <v>109</v>
      </c>
      <c r="C11" s="26"/>
      <c r="D11" s="26"/>
      <c r="E11" s="26"/>
      <c r="F11" s="27"/>
      <c r="G11" s="25"/>
      <c r="H11" s="18" t="s">
        <v>166</v>
      </c>
      <c r="I11" s="18" t="s">
        <v>73</v>
      </c>
      <c r="J11" s="18" t="s">
        <v>73</v>
      </c>
      <c r="K11" s="18" t="s">
        <v>73</v>
      </c>
      <c r="L11" s="18" t="s">
        <v>73</v>
      </c>
      <c r="M11" s="18" t="s">
        <v>96</v>
      </c>
      <c r="N11" s="18" t="s">
        <v>74</v>
      </c>
      <c r="O11" s="18" t="s">
        <v>79</v>
      </c>
      <c r="P11" s="19"/>
      <c r="Q11" s="18" t="n">
        <v>1</v>
      </c>
    </row>
    <row r="12" customFormat="false" ht="19.5" hidden="false" customHeight="true" outlineLevel="0" collapsed="false">
      <c r="A12" s="20" t="s">
        <v>179</v>
      </c>
      <c r="B12" s="25" t="s">
        <v>180</v>
      </c>
      <c r="C12" s="26"/>
      <c r="D12" s="26"/>
      <c r="E12" s="26"/>
      <c r="F12" s="27"/>
      <c r="G12" s="25"/>
      <c r="H12" s="18" t="s">
        <v>166</v>
      </c>
      <c r="I12" s="18" t="s">
        <v>73</v>
      </c>
      <c r="J12" s="18" t="s">
        <v>73</v>
      </c>
      <c r="K12" s="18" t="s">
        <v>73</v>
      </c>
      <c r="L12" s="18" t="s">
        <v>73</v>
      </c>
      <c r="M12" s="18" t="s">
        <v>96</v>
      </c>
      <c r="N12" s="18" t="s">
        <v>74</v>
      </c>
      <c r="O12" s="18" t="s">
        <v>75</v>
      </c>
      <c r="P12" s="19"/>
      <c r="Q12" s="18" t="n">
        <v>1</v>
      </c>
    </row>
    <row r="13" customFormat="false" ht="19.5" hidden="false" customHeight="true" outlineLevel="0" collapsed="false">
      <c r="A13" s="20" t="s">
        <v>181</v>
      </c>
      <c r="B13" s="25" t="s">
        <v>182</v>
      </c>
      <c r="C13" s="26"/>
      <c r="D13" s="26"/>
      <c r="E13" s="26"/>
      <c r="F13" s="27"/>
      <c r="G13" s="25"/>
      <c r="H13" s="18" t="s">
        <v>166</v>
      </c>
      <c r="I13" s="18" t="s">
        <v>73</v>
      </c>
      <c r="J13" s="18" t="s">
        <v>73</v>
      </c>
      <c r="K13" s="18" t="s">
        <v>73</v>
      </c>
      <c r="L13" s="18" t="s">
        <v>73</v>
      </c>
      <c r="M13" s="18" t="s">
        <v>96</v>
      </c>
      <c r="N13" s="18" t="s">
        <v>74</v>
      </c>
      <c r="O13" s="18" t="s">
        <v>79</v>
      </c>
      <c r="P13" s="19"/>
      <c r="Q13" s="18" t="n">
        <v>1</v>
      </c>
    </row>
    <row r="15" customFormat="false" ht="21.75" hidden="false" customHeight="true" outlineLevel="0" collapsed="false">
      <c r="A15" s="15" t="s">
        <v>89</v>
      </c>
      <c r="B15" s="15"/>
      <c r="C15" s="15"/>
      <c r="D15" s="15"/>
      <c r="E15" s="15"/>
      <c r="F15" s="15"/>
      <c r="G15" s="15"/>
    </row>
    <row r="16" customFormat="false" ht="27.75" hidden="false" customHeight="true" outlineLevel="0" collapsed="false">
      <c r="A16" s="4" t="s">
        <v>50</v>
      </c>
      <c r="B16" s="4" t="s">
        <v>51</v>
      </c>
      <c r="C16" s="4" t="s">
        <v>52</v>
      </c>
      <c r="D16" s="4" t="s">
        <v>53</v>
      </c>
      <c r="E16" s="4" t="s">
        <v>54</v>
      </c>
      <c r="F16" s="4" t="s">
        <v>55</v>
      </c>
      <c r="G16" s="4" t="s">
        <v>56</v>
      </c>
      <c r="H16" s="16" t="s">
        <v>57</v>
      </c>
      <c r="I16" s="16" t="s">
        <v>58</v>
      </c>
      <c r="J16" s="16" t="s">
        <v>59</v>
      </c>
      <c r="K16" s="16" t="s">
        <v>60</v>
      </c>
      <c r="L16" s="16" t="s">
        <v>61</v>
      </c>
      <c r="M16" s="16" t="s">
        <v>62</v>
      </c>
      <c r="N16" s="16" t="s">
        <v>63</v>
      </c>
      <c r="O16" s="16" t="s">
        <v>64</v>
      </c>
      <c r="P16" s="16" t="s">
        <v>28</v>
      </c>
      <c r="Q16" s="16" t="s">
        <v>65</v>
      </c>
    </row>
    <row r="17" customFormat="false" ht="19.5" hidden="false" customHeight="true" outlineLevel="0" collapsed="false">
      <c r="A17" s="5" t="s">
        <v>183</v>
      </c>
      <c r="B17" s="6" t="s">
        <v>184</v>
      </c>
      <c r="C17" s="5" t="s">
        <v>33</v>
      </c>
      <c r="D17" s="5" t="s">
        <v>185</v>
      </c>
      <c r="E17" s="5" t="s">
        <v>69</v>
      </c>
      <c r="F17" s="17"/>
      <c r="G17" s="6" t="s">
        <v>186</v>
      </c>
      <c r="H17" s="18" t="s">
        <v>166</v>
      </c>
      <c r="I17" s="18" t="s">
        <v>72</v>
      </c>
      <c r="J17" s="18" t="s">
        <v>73</v>
      </c>
      <c r="K17" s="18" t="s">
        <v>73</v>
      </c>
      <c r="L17" s="18" t="s">
        <v>73</v>
      </c>
      <c r="M17" s="18" t="s">
        <v>96</v>
      </c>
      <c r="N17" s="18" t="s">
        <v>74</v>
      </c>
      <c r="O17" s="18" t="s">
        <v>75</v>
      </c>
      <c r="P17" s="19"/>
      <c r="Q17" s="18" t="n">
        <v>1</v>
      </c>
    </row>
    <row r="18" customFormat="false" ht="19.5" hidden="false" customHeight="true" outlineLevel="0" collapsed="false">
      <c r="A18" s="20" t="s">
        <v>187</v>
      </c>
      <c r="B18" s="21" t="s">
        <v>188</v>
      </c>
      <c r="C18" s="20" t="s">
        <v>33</v>
      </c>
      <c r="D18" s="20" t="s">
        <v>189</v>
      </c>
      <c r="E18" s="20" t="s">
        <v>69</v>
      </c>
      <c r="F18" s="22"/>
      <c r="G18" s="21" t="s">
        <v>186</v>
      </c>
      <c r="H18" s="18" t="s">
        <v>166</v>
      </c>
      <c r="I18" s="18" t="s">
        <v>72</v>
      </c>
      <c r="J18" s="18" t="s">
        <v>73</v>
      </c>
      <c r="K18" s="18" t="s">
        <v>73</v>
      </c>
      <c r="L18" s="18" t="s">
        <v>73</v>
      </c>
      <c r="M18" s="18" t="s">
        <v>96</v>
      </c>
      <c r="N18" s="18" t="s">
        <v>74</v>
      </c>
      <c r="O18" s="18" t="s">
        <v>75</v>
      </c>
      <c r="P18" s="19"/>
      <c r="Q18" s="18" t="n">
        <v>1</v>
      </c>
    </row>
    <row r="19" customFormat="false" ht="19.5" hidden="false" customHeight="true" outlineLevel="0" collapsed="false">
      <c r="A19" s="5" t="s">
        <v>190</v>
      </c>
      <c r="B19" s="6" t="s">
        <v>191</v>
      </c>
      <c r="C19" s="5" t="s">
        <v>33</v>
      </c>
      <c r="D19" s="5" t="s">
        <v>68</v>
      </c>
      <c r="E19" s="5" t="s">
        <v>69</v>
      </c>
      <c r="F19" s="17"/>
      <c r="G19" s="6" t="s">
        <v>192</v>
      </c>
      <c r="H19" s="18" t="s">
        <v>166</v>
      </c>
      <c r="I19" s="18" t="s">
        <v>72</v>
      </c>
      <c r="J19" s="18" t="s">
        <v>73</v>
      </c>
      <c r="K19" s="18" t="s">
        <v>193</v>
      </c>
      <c r="L19" s="18" t="s">
        <v>73</v>
      </c>
      <c r="M19" s="18" t="s">
        <v>96</v>
      </c>
      <c r="N19" s="18" t="s">
        <v>74</v>
      </c>
      <c r="O19" s="18" t="s">
        <v>75</v>
      </c>
      <c r="P19" s="19"/>
      <c r="Q19" s="18" t="n">
        <v>1</v>
      </c>
    </row>
    <row r="21" customFormat="false" ht="21.75" hidden="false" customHeight="true" outlineLevel="0" collapsed="false">
      <c r="A21" s="15" t="s">
        <v>100</v>
      </c>
      <c r="B21" s="15"/>
      <c r="C21" s="15"/>
      <c r="D21" s="15"/>
      <c r="E21" s="15"/>
      <c r="F21" s="15"/>
      <c r="G21" s="15"/>
    </row>
    <row r="22" customFormat="false" ht="27.75" hidden="false" customHeight="true" outlineLevel="0" collapsed="false">
      <c r="A22" s="4" t="s">
        <v>50</v>
      </c>
      <c r="B22" s="4" t="s">
        <v>51</v>
      </c>
      <c r="C22" s="4" t="s">
        <v>52</v>
      </c>
      <c r="D22" s="4" t="s">
        <v>53</v>
      </c>
      <c r="E22" s="4" t="s">
        <v>54</v>
      </c>
      <c r="F22" s="4" t="s">
        <v>55</v>
      </c>
      <c r="G22" s="4" t="s">
        <v>56</v>
      </c>
      <c r="H22" s="16" t="s">
        <v>57</v>
      </c>
      <c r="I22" s="16" t="s">
        <v>58</v>
      </c>
      <c r="J22" s="16" t="s">
        <v>59</v>
      </c>
      <c r="K22" s="16" t="s">
        <v>60</v>
      </c>
      <c r="L22" s="16" t="s">
        <v>61</v>
      </c>
      <c r="M22" s="16" t="s">
        <v>62</v>
      </c>
      <c r="N22" s="16" t="s">
        <v>63</v>
      </c>
      <c r="O22" s="16" t="s">
        <v>64</v>
      </c>
      <c r="P22" s="16" t="s">
        <v>28</v>
      </c>
      <c r="Q22" s="16" t="s">
        <v>65</v>
      </c>
    </row>
    <row r="23" customFormat="false" ht="19.5" hidden="false" customHeight="true" outlineLevel="0" collapsed="false">
      <c r="A23" s="5" t="s">
        <v>194</v>
      </c>
      <c r="B23" s="6" t="s">
        <v>195</v>
      </c>
      <c r="C23" s="5" t="s">
        <v>36</v>
      </c>
      <c r="D23" s="5" t="s">
        <v>68</v>
      </c>
      <c r="E23" s="5" t="s">
        <v>69</v>
      </c>
      <c r="F23" s="17"/>
      <c r="G23" s="6" t="s">
        <v>196</v>
      </c>
      <c r="H23" s="18" t="s">
        <v>166</v>
      </c>
      <c r="I23" s="18" t="s">
        <v>72</v>
      </c>
      <c r="J23" s="18" t="s">
        <v>73</v>
      </c>
      <c r="K23" s="18" t="s">
        <v>73</v>
      </c>
      <c r="L23" s="18" t="s">
        <v>197</v>
      </c>
      <c r="M23" s="18" t="s">
        <v>74</v>
      </c>
      <c r="N23" s="18" t="s">
        <v>74</v>
      </c>
      <c r="O23" s="18" t="s">
        <v>79</v>
      </c>
      <c r="P23" s="19"/>
      <c r="Q23" s="18" t="n">
        <v>1</v>
      </c>
    </row>
    <row r="24" customFormat="false" ht="19.5" hidden="false" customHeight="true" outlineLevel="0" collapsed="false">
      <c r="A24" s="20" t="s">
        <v>198</v>
      </c>
      <c r="B24" s="21" t="s">
        <v>199</v>
      </c>
      <c r="C24" s="20" t="s">
        <v>36</v>
      </c>
      <c r="D24" s="20" t="s">
        <v>82</v>
      </c>
      <c r="E24" s="20" t="s">
        <v>69</v>
      </c>
      <c r="F24" s="22"/>
      <c r="G24" s="21" t="s">
        <v>200</v>
      </c>
      <c r="H24" s="18" t="s">
        <v>166</v>
      </c>
      <c r="I24" s="18" t="s">
        <v>73</v>
      </c>
      <c r="J24" s="18" t="s">
        <v>73</v>
      </c>
      <c r="K24" s="18" t="s">
        <v>73</v>
      </c>
      <c r="L24" s="18" t="s">
        <v>73</v>
      </c>
      <c r="M24" s="18" t="s">
        <v>74</v>
      </c>
      <c r="N24" s="18" t="s">
        <v>74</v>
      </c>
      <c r="O24" s="18" t="s">
        <v>79</v>
      </c>
      <c r="P24" s="19"/>
      <c r="Q24" s="18" t="n">
        <v>1</v>
      </c>
    </row>
    <row r="26" customFormat="false" ht="21.75" hidden="false" customHeight="true" outlineLevel="0" collapsed="false">
      <c r="A26" s="15" t="s">
        <v>117</v>
      </c>
      <c r="B26" s="15"/>
      <c r="C26" s="15"/>
      <c r="D26" s="15"/>
      <c r="E26" s="15"/>
      <c r="F26" s="15"/>
      <c r="G26" s="15"/>
    </row>
    <row r="27" customFormat="false" ht="27.75" hidden="false" customHeight="true" outlineLevel="0" collapsed="false">
      <c r="A27" s="4" t="s">
        <v>50</v>
      </c>
      <c r="B27" s="4" t="s">
        <v>51</v>
      </c>
      <c r="C27" s="4" t="s">
        <v>52</v>
      </c>
      <c r="D27" s="4" t="s">
        <v>53</v>
      </c>
      <c r="E27" s="4" t="s">
        <v>54</v>
      </c>
      <c r="F27" s="4" t="s">
        <v>55</v>
      </c>
      <c r="G27" s="4" t="s">
        <v>56</v>
      </c>
      <c r="H27" s="16" t="s">
        <v>57</v>
      </c>
      <c r="I27" s="16" t="s">
        <v>58</v>
      </c>
      <c r="J27" s="16" t="s">
        <v>59</v>
      </c>
      <c r="K27" s="16" t="s">
        <v>60</v>
      </c>
      <c r="L27" s="16" t="s">
        <v>61</v>
      </c>
      <c r="M27" s="16" t="s">
        <v>62</v>
      </c>
      <c r="N27" s="16" t="s">
        <v>63</v>
      </c>
      <c r="O27" s="16" t="s">
        <v>64</v>
      </c>
      <c r="P27" s="16" t="s">
        <v>28</v>
      </c>
      <c r="Q27" s="16" t="s">
        <v>65</v>
      </c>
    </row>
    <row r="28" customFormat="false" ht="19.5" hidden="false" customHeight="true" outlineLevel="0" collapsed="false">
      <c r="A28" s="5" t="s">
        <v>201</v>
      </c>
      <c r="B28" s="6" t="s">
        <v>202</v>
      </c>
      <c r="C28" s="5" t="s">
        <v>39</v>
      </c>
      <c r="D28" s="5" t="s">
        <v>203</v>
      </c>
      <c r="E28" s="5" t="s">
        <v>69</v>
      </c>
      <c r="F28" s="17"/>
      <c r="G28" s="6"/>
      <c r="H28" s="18" t="s">
        <v>166</v>
      </c>
      <c r="I28" s="18" t="s">
        <v>73</v>
      </c>
      <c r="J28" s="18" t="s">
        <v>73</v>
      </c>
      <c r="K28" s="18" t="s">
        <v>73</v>
      </c>
      <c r="L28" s="18" t="s">
        <v>73</v>
      </c>
      <c r="M28" s="18" t="s">
        <v>74</v>
      </c>
      <c r="N28" s="18" t="s">
        <v>74</v>
      </c>
      <c r="O28" s="18" t="s">
        <v>79</v>
      </c>
      <c r="P28" s="19"/>
      <c r="Q28" s="18" t="n">
        <v>1</v>
      </c>
    </row>
    <row r="29" customFormat="false" ht="19.5" hidden="false" customHeight="true" outlineLevel="0" collapsed="false">
      <c r="A29" s="20" t="s">
        <v>204</v>
      </c>
      <c r="B29" s="21" t="s">
        <v>205</v>
      </c>
      <c r="C29" s="20" t="s">
        <v>39</v>
      </c>
      <c r="D29" s="20" t="s">
        <v>127</v>
      </c>
      <c r="E29" s="20" t="s">
        <v>69</v>
      </c>
      <c r="F29" s="31"/>
      <c r="G29" s="21" t="s">
        <v>206</v>
      </c>
      <c r="H29" s="18" t="s">
        <v>166</v>
      </c>
      <c r="I29" s="18" t="s">
        <v>73</v>
      </c>
      <c r="J29" s="18" t="s">
        <v>73</v>
      </c>
      <c r="K29" s="18" t="s">
        <v>73</v>
      </c>
      <c r="L29" s="18" t="s">
        <v>73</v>
      </c>
      <c r="M29" s="18" t="s">
        <v>96</v>
      </c>
      <c r="N29" s="18" t="s">
        <v>96</v>
      </c>
      <c r="O29" s="18" t="s">
        <v>75</v>
      </c>
      <c r="P29" s="19"/>
      <c r="Q29" s="18" t="n">
        <v>1</v>
      </c>
    </row>
    <row r="31" customFormat="false" ht="21.75" hidden="false" customHeight="true" outlineLevel="0" collapsed="false">
      <c r="A31" s="15" t="s">
        <v>142</v>
      </c>
      <c r="B31" s="15"/>
      <c r="C31" s="15"/>
      <c r="D31" s="15"/>
      <c r="E31" s="15"/>
      <c r="F31" s="15"/>
      <c r="G31" s="15"/>
    </row>
    <row r="32" customFormat="false" ht="27.75" hidden="false" customHeight="true" outlineLevel="0" collapsed="false">
      <c r="A32" s="4" t="s">
        <v>50</v>
      </c>
      <c r="B32" s="4" t="s">
        <v>51</v>
      </c>
      <c r="C32" s="4" t="s">
        <v>52</v>
      </c>
      <c r="D32" s="4" t="s">
        <v>53</v>
      </c>
      <c r="E32" s="4" t="s">
        <v>54</v>
      </c>
      <c r="F32" s="4" t="s">
        <v>55</v>
      </c>
      <c r="G32" s="4" t="s">
        <v>56</v>
      </c>
      <c r="H32" s="16" t="s">
        <v>57</v>
      </c>
      <c r="I32" s="16" t="s">
        <v>58</v>
      </c>
      <c r="J32" s="16" t="s">
        <v>59</v>
      </c>
      <c r="K32" s="16" t="s">
        <v>60</v>
      </c>
      <c r="L32" s="16" t="s">
        <v>61</v>
      </c>
      <c r="M32" s="16" t="s">
        <v>62</v>
      </c>
      <c r="N32" s="16" t="s">
        <v>63</v>
      </c>
      <c r="O32" s="16" t="s">
        <v>64</v>
      </c>
      <c r="P32" s="16" t="s">
        <v>28</v>
      </c>
      <c r="Q32" s="16" t="s">
        <v>65</v>
      </c>
    </row>
    <row r="33" customFormat="false" ht="19.5" hidden="false" customHeight="true" outlineLevel="0" collapsed="false">
      <c r="A33" s="5" t="s">
        <v>207</v>
      </c>
      <c r="B33" s="6" t="s">
        <v>208</v>
      </c>
      <c r="C33" s="5" t="s">
        <v>41</v>
      </c>
      <c r="D33" s="5" t="s">
        <v>209</v>
      </c>
      <c r="E33" s="5" t="s">
        <v>69</v>
      </c>
      <c r="F33" s="17"/>
      <c r="G33" s="6" t="s">
        <v>210</v>
      </c>
      <c r="H33" s="18" t="s">
        <v>166</v>
      </c>
      <c r="I33" s="18" t="s">
        <v>73</v>
      </c>
      <c r="J33" s="18" t="s">
        <v>73</v>
      </c>
      <c r="K33" s="18" t="s">
        <v>73</v>
      </c>
      <c r="L33" s="18" t="s">
        <v>73</v>
      </c>
      <c r="M33" s="18" t="s">
        <v>74</v>
      </c>
      <c r="N33" s="18" t="s">
        <v>74</v>
      </c>
      <c r="O33" s="18" t="s">
        <v>75</v>
      </c>
      <c r="P33" s="19"/>
      <c r="Q33" s="18" t="n">
        <v>1</v>
      </c>
    </row>
    <row r="34" customFormat="false" ht="19.5" hidden="false" customHeight="true" outlineLevel="0" collapsed="false">
      <c r="A34" s="5" t="s">
        <v>211</v>
      </c>
      <c r="B34" s="28" t="s">
        <v>212</v>
      </c>
      <c r="C34" s="29" t="s">
        <v>213</v>
      </c>
      <c r="D34" s="29" t="s">
        <v>209</v>
      </c>
      <c r="E34" s="29"/>
      <c r="F34" s="30"/>
      <c r="G34" s="28"/>
      <c r="H34" s="18" t="s">
        <v>166</v>
      </c>
      <c r="I34" s="18" t="s">
        <v>73</v>
      </c>
      <c r="J34" s="18" t="s">
        <v>73</v>
      </c>
      <c r="K34" s="18" t="s">
        <v>73</v>
      </c>
      <c r="L34" s="18" t="s">
        <v>73</v>
      </c>
      <c r="M34" s="18" t="s">
        <v>96</v>
      </c>
      <c r="N34" s="18" t="s">
        <v>74</v>
      </c>
      <c r="O34" s="18" t="s">
        <v>75</v>
      </c>
      <c r="P34" s="19"/>
      <c r="Q34" s="18" t="n">
        <v>1</v>
      </c>
    </row>
    <row r="36" customFormat="false" ht="21.75" hidden="false" customHeight="true" outlineLevel="0" collapsed="false">
      <c r="A36" s="15" t="s">
        <v>155</v>
      </c>
      <c r="B36" s="15"/>
      <c r="C36" s="15"/>
      <c r="D36" s="15"/>
      <c r="E36" s="15"/>
      <c r="F36" s="15"/>
      <c r="G36" s="15"/>
    </row>
    <row r="37" customFormat="false" ht="27.75" hidden="false" customHeight="true" outlineLevel="0" collapsed="false">
      <c r="A37" s="4" t="s">
        <v>50</v>
      </c>
      <c r="B37" s="4" t="s">
        <v>51</v>
      </c>
      <c r="C37" s="4" t="s">
        <v>52</v>
      </c>
      <c r="D37" s="4" t="s">
        <v>53</v>
      </c>
      <c r="E37" s="4" t="s">
        <v>54</v>
      </c>
      <c r="F37" s="4" t="s">
        <v>55</v>
      </c>
      <c r="G37" s="4" t="s">
        <v>56</v>
      </c>
      <c r="H37" s="16" t="s">
        <v>57</v>
      </c>
      <c r="I37" s="16" t="s">
        <v>58</v>
      </c>
      <c r="J37" s="16" t="s">
        <v>59</v>
      </c>
      <c r="K37" s="16" t="s">
        <v>60</v>
      </c>
      <c r="L37" s="16" t="s">
        <v>61</v>
      </c>
      <c r="M37" s="16" t="s">
        <v>62</v>
      </c>
      <c r="N37" s="16" t="s">
        <v>63</v>
      </c>
      <c r="O37" s="16" t="s">
        <v>64</v>
      </c>
      <c r="P37" s="16" t="s">
        <v>28</v>
      </c>
      <c r="Q37" s="16" t="s">
        <v>65</v>
      </c>
    </row>
    <row r="38" customFormat="false" ht="19.5" hidden="false" customHeight="true" outlineLevel="0" collapsed="false">
      <c r="A38" s="5" t="s">
        <v>214</v>
      </c>
      <c r="B38" s="6" t="s">
        <v>215</v>
      </c>
      <c r="C38" s="5" t="s">
        <v>43</v>
      </c>
      <c r="D38" s="5" t="s">
        <v>127</v>
      </c>
      <c r="E38" s="5" t="s">
        <v>69</v>
      </c>
      <c r="F38" s="23"/>
      <c r="G38" s="6" t="s">
        <v>216</v>
      </c>
      <c r="H38" s="18" t="s">
        <v>166</v>
      </c>
      <c r="I38" s="18" t="s">
        <v>73</v>
      </c>
      <c r="J38" s="18" t="s">
        <v>73</v>
      </c>
      <c r="K38" s="18" t="s">
        <v>73</v>
      </c>
      <c r="L38" s="18" t="s">
        <v>73</v>
      </c>
      <c r="M38" s="18" t="s">
        <v>96</v>
      </c>
      <c r="N38" s="18" t="s">
        <v>74</v>
      </c>
      <c r="O38" s="18" t="s">
        <v>75</v>
      </c>
      <c r="P38" s="19"/>
      <c r="Q38" s="18" t="n">
        <v>1</v>
      </c>
    </row>
  </sheetData>
  <mergeCells count="8">
    <mergeCell ref="A1:G1"/>
    <mergeCell ref="A2:G2"/>
    <mergeCell ref="A4:G4"/>
    <mergeCell ref="A15:G15"/>
    <mergeCell ref="A21:G21"/>
    <mergeCell ref="A26:G26"/>
    <mergeCell ref="A31:G31"/>
    <mergeCell ref="A36:G36"/>
  </mergeCells>
  <dataValidations count="6">
    <dataValidation allowBlank="true" errorStyle="stop" operator="between" showDropDown="false" showErrorMessage="false" showInputMessage="false" sqref="H5:H188" type="list">
      <formula1>"ALL,Import,Export"</formula1>
      <formula2>0</formula2>
    </dataValidation>
    <dataValidation allowBlank="true" errorStyle="stop" operator="between" showDropDown="false" showErrorMessage="false" showInputMessage="false" sqref="I5:I188" type="list">
      <formula1>"ALL,FCL,LCL,FTL,LTL"</formula1>
      <formula2>0</formula2>
    </dataValidation>
    <dataValidation allowBlank="true" errorStyle="stop" operator="between" showDropDown="false" showErrorMessage="false" showInputMessage="false" sqref="J5:J188" type="list">
      <formula1>"ALL,Palletized,Loose,Mixed"</formula1>
      <formula2>0</formula2>
    </dataValidation>
    <dataValidation allowBlank="true" errorStyle="stop" operator="between" showDropDown="false" showErrorMessage="false" showInputMessage="false" sqref="K5:K188" type="list">
      <formula1>"ALL,General,Refrigerated,OOG,Dangerous,Other"</formula1>
      <formula2>0</formula2>
    </dataValidation>
    <dataValidation allowBlank="true" errorStyle="stop" operator="between" showDropDown="false" showErrorMessage="false" showInputMessage="false" sqref="M5:N188" type="list">
      <formula1>"Y,N"</formula1>
      <formula2>0</formula2>
    </dataValidation>
    <dataValidation allowBlank="true" errorStyle="stop" operator="between" showDropDown="false" showErrorMessage="false" showInputMessage="false" sqref="O5:O188" type="list">
      <formula1>"Auto,Editable"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6" activeCellId="0" sqref="F36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46"/>
    <col collapsed="false" customWidth="true" hidden="false" outlineLevel="0" max="3" min="3" style="0" width="24"/>
    <col collapsed="false" customWidth="true" hidden="false" outlineLevel="0" max="4" min="4" style="0" width="23"/>
    <col collapsed="false" customWidth="true" hidden="false" outlineLevel="0" max="5" min="5" style="0" width="13"/>
    <col collapsed="false" customWidth="true" hidden="false" outlineLevel="0" max="6" min="6" style="0" width="19"/>
    <col collapsed="false" customWidth="true" hidden="false" outlineLevel="0" max="7" min="7" style="0" width="34"/>
    <col collapsed="false" customWidth="true" hidden="false" outlineLevel="0" max="9" min="8" style="0" width="11"/>
    <col collapsed="false" customWidth="true" hidden="false" outlineLevel="0" max="10" min="10" style="0" width="13"/>
    <col collapsed="false" customWidth="true" hidden="false" outlineLevel="0" max="12" min="11" style="0" width="14"/>
    <col collapsed="false" customWidth="true" hidden="false" outlineLevel="0" max="14" min="13" style="0" width="11"/>
    <col collapsed="false" customWidth="true" hidden="false" outlineLevel="0" max="15" min="15" style="0" width="13"/>
    <col collapsed="false" customWidth="true" hidden="false" outlineLevel="0" max="16" min="16" style="0" width="10"/>
    <col collapsed="false" customWidth="true" hidden="false" outlineLevel="0" max="17" min="17" style="0" width="11"/>
  </cols>
  <sheetData>
    <row r="1" customFormat="false" ht="30" hidden="false" customHeight="true" outlineLevel="0" collapsed="false">
      <c r="A1" s="1" t="s">
        <v>217</v>
      </c>
      <c r="B1" s="1"/>
      <c r="C1" s="1"/>
      <c r="D1" s="1"/>
      <c r="E1" s="1"/>
      <c r="F1" s="1"/>
      <c r="G1" s="1"/>
      <c r="I1" s="13" t="s">
        <v>47</v>
      </c>
    </row>
    <row r="2" customFormat="false" ht="19.5" hidden="false" customHeight="true" outlineLevel="0" collapsed="false">
      <c r="A2" s="14" t="s">
        <v>218</v>
      </c>
      <c r="B2" s="14"/>
      <c r="C2" s="14"/>
      <c r="D2" s="14"/>
      <c r="E2" s="14"/>
      <c r="F2" s="14"/>
      <c r="G2" s="14"/>
    </row>
    <row r="4" customFormat="false" ht="21.75" hidden="false" customHeight="true" outlineLevel="0" collapsed="false">
      <c r="A4" s="15" t="s">
        <v>49</v>
      </c>
      <c r="B4" s="15"/>
      <c r="C4" s="15"/>
      <c r="D4" s="15"/>
      <c r="E4" s="15"/>
      <c r="F4" s="15"/>
      <c r="G4" s="15"/>
    </row>
    <row r="5" customFormat="false" ht="27.75" hidden="false" customHeight="true" outlineLevel="0" collapsed="false">
      <c r="A5" s="4" t="s">
        <v>50</v>
      </c>
      <c r="B5" s="4" t="s">
        <v>51</v>
      </c>
      <c r="C5" s="4" t="s">
        <v>52</v>
      </c>
      <c r="D5" s="4" t="s">
        <v>53</v>
      </c>
      <c r="E5" s="4" t="s">
        <v>54</v>
      </c>
      <c r="F5" s="4" t="s">
        <v>55</v>
      </c>
      <c r="G5" s="4" t="s">
        <v>56</v>
      </c>
      <c r="H5" s="16" t="s">
        <v>57</v>
      </c>
      <c r="I5" s="16" t="s">
        <v>58</v>
      </c>
      <c r="J5" s="16" t="s">
        <v>59</v>
      </c>
      <c r="K5" s="16" t="s">
        <v>60</v>
      </c>
      <c r="L5" s="16" t="s">
        <v>61</v>
      </c>
      <c r="M5" s="16" t="s">
        <v>62</v>
      </c>
      <c r="N5" s="16" t="s">
        <v>63</v>
      </c>
      <c r="O5" s="16" t="s">
        <v>64</v>
      </c>
      <c r="P5" s="16" t="s">
        <v>28</v>
      </c>
      <c r="Q5" s="16" t="s">
        <v>65</v>
      </c>
    </row>
    <row r="6" customFormat="false" ht="19.5" hidden="false" customHeight="true" outlineLevel="0" collapsed="false">
      <c r="A6" s="5" t="s">
        <v>219</v>
      </c>
      <c r="B6" s="6" t="s">
        <v>220</v>
      </c>
      <c r="C6" s="5" t="s">
        <v>30</v>
      </c>
      <c r="D6" s="5" t="s">
        <v>221</v>
      </c>
      <c r="E6" s="5" t="s">
        <v>69</v>
      </c>
      <c r="F6" s="17"/>
      <c r="G6" s="6" t="s">
        <v>222</v>
      </c>
      <c r="H6" s="18" t="s">
        <v>71</v>
      </c>
      <c r="I6" s="18" t="s">
        <v>73</v>
      </c>
      <c r="J6" s="18" t="s">
        <v>73</v>
      </c>
      <c r="K6" s="18" t="s">
        <v>73</v>
      </c>
      <c r="L6" s="18" t="s">
        <v>73</v>
      </c>
      <c r="M6" s="18" t="s">
        <v>74</v>
      </c>
      <c r="N6" s="18" t="s">
        <v>74</v>
      </c>
      <c r="O6" s="18" t="s">
        <v>75</v>
      </c>
      <c r="P6" s="19"/>
      <c r="Q6" s="18" t="n">
        <v>1</v>
      </c>
    </row>
    <row r="7" customFormat="false" ht="19.5" hidden="false" customHeight="true" outlineLevel="0" collapsed="false">
      <c r="A7" s="20" t="s">
        <v>223</v>
      </c>
      <c r="B7" s="21" t="s">
        <v>224</v>
      </c>
      <c r="C7" s="20" t="s">
        <v>30</v>
      </c>
      <c r="D7" s="20" t="s">
        <v>225</v>
      </c>
      <c r="E7" s="20" t="s">
        <v>69</v>
      </c>
      <c r="F7" s="22"/>
      <c r="G7" s="21" t="s">
        <v>226</v>
      </c>
      <c r="H7" s="18" t="s">
        <v>71</v>
      </c>
      <c r="I7" s="18" t="s">
        <v>73</v>
      </c>
      <c r="J7" s="18" t="s">
        <v>73</v>
      </c>
      <c r="K7" s="18" t="s">
        <v>73</v>
      </c>
      <c r="L7" s="18" t="s">
        <v>73</v>
      </c>
      <c r="M7" s="18" t="s">
        <v>74</v>
      </c>
      <c r="N7" s="18" t="s">
        <v>74</v>
      </c>
      <c r="O7" s="18" t="s">
        <v>79</v>
      </c>
      <c r="P7" s="19"/>
      <c r="Q7" s="18" t="n">
        <v>1</v>
      </c>
    </row>
    <row r="8" customFormat="false" ht="19.5" hidden="false" customHeight="true" outlineLevel="0" collapsed="false">
      <c r="A8" s="5" t="s">
        <v>227</v>
      </c>
      <c r="B8" s="6" t="s">
        <v>228</v>
      </c>
      <c r="C8" s="5" t="s">
        <v>30</v>
      </c>
      <c r="D8" s="5" t="s">
        <v>221</v>
      </c>
      <c r="E8" s="5" t="s">
        <v>69</v>
      </c>
      <c r="F8" s="17"/>
      <c r="G8" s="6" t="s">
        <v>229</v>
      </c>
      <c r="H8" s="18" t="s">
        <v>71</v>
      </c>
      <c r="I8" s="18" t="s">
        <v>73</v>
      </c>
      <c r="J8" s="18" t="s">
        <v>73</v>
      </c>
      <c r="K8" s="18" t="s">
        <v>73</v>
      </c>
      <c r="L8" s="18" t="s">
        <v>73</v>
      </c>
      <c r="M8" s="18" t="s">
        <v>96</v>
      </c>
      <c r="N8" s="18" t="s">
        <v>74</v>
      </c>
      <c r="O8" s="18" t="s">
        <v>75</v>
      </c>
      <c r="P8" s="19"/>
      <c r="Q8" s="18" t="n">
        <v>1</v>
      </c>
    </row>
    <row r="10" customFormat="false" ht="21.75" hidden="false" customHeight="true" outlineLevel="0" collapsed="false">
      <c r="A10" s="15" t="s">
        <v>89</v>
      </c>
      <c r="B10" s="15"/>
      <c r="C10" s="15"/>
      <c r="D10" s="15"/>
      <c r="E10" s="15"/>
      <c r="F10" s="15"/>
      <c r="G10" s="15"/>
    </row>
    <row r="11" customFormat="false" ht="27.75" hidden="false" customHeight="true" outlineLevel="0" collapsed="false">
      <c r="A11" s="4" t="s">
        <v>50</v>
      </c>
      <c r="B11" s="4" t="s">
        <v>51</v>
      </c>
      <c r="C11" s="4" t="s">
        <v>52</v>
      </c>
      <c r="D11" s="4" t="s">
        <v>53</v>
      </c>
      <c r="E11" s="4" t="s">
        <v>54</v>
      </c>
      <c r="F11" s="4" t="s">
        <v>55</v>
      </c>
      <c r="G11" s="4" t="s">
        <v>56</v>
      </c>
      <c r="H11" s="16" t="s">
        <v>57</v>
      </c>
      <c r="I11" s="16" t="s">
        <v>58</v>
      </c>
      <c r="J11" s="16" t="s">
        <v>59</v>
      </c>
      <c r="K11" s="16" t="s">
        <v>60</v>
      </c>
      <c r="L11" s="16" t="s">
        <v>61</v>
      </c>
      <c r="M11" s="16" t="s">
        <v>62</v>
      </c>
      <c r="N11" s="16" t="s">
        <v>63</v>
      </c>
      <c r="O11" s="16" t="s">
        <v>64</v>
      </c>
      <c r="P11" s="16" t="s">
        <v>28</v>
      </c>
      <c r="Q11" s="16" t="s">
        <v>65</v>
      </c>
    </row>
    <row r="12" customFormat="false" ht="19.5" hidden="false" customHeight="true" outlineLevel="0" collapsed="false">
      <c r="A12" s="5" t="s">
        <v>230</v>
      </c>
      <c r="B12" s="6" t="s">
        <v>231</v>
      </c>
      <c r="C12" s="5" t="s">
        <v>33</v>
      </c>
      <c r="D12" s="5" t="s">
        <v>232</v>
      </c>
      <c r="E12" s="5" t="s">
        <v>69</v>
      </c>
      <c r="F12" s="17"/>
      <c r="G12" s="6" t="s">
        <v>233</v>
      </c>
      <c r="H12" s="18" t="s">
        <v>71</v>
      </c>
      <c r="I12" s="18" t="s">
        <v>73</v>
      </c>
      <c r="J12" s="18" t="s">
        <v>73</v>
      </c>
      <c r="K12" s="18" t="s">
        <v>73</v>
      </c>
      <c r="L12" s="18" t="s">
        <v>73</v>
      </c>
      <c r="M12" s="18" t="s">
        <v>74</v>
      </c>
      <c r="N12" s="18" t="s">
        <v>74</v>
      </c>
      <c r="O12" s="18" t="s">
        <v>75</v>
      </c>
      <c r="P12" s="19"/>
      <c r="Q12" s="18" t="n">
        <v>1</v>
      </c>
    </row>
    <row r="13" customFormat="false" ht="19.5" hidden="false" customHeight="true" outlineLevel="0" collapsed="false">
      <c r="A13" s="20" t="s">
        <v>234</v>
      </c>
      <c r="B13" s="21" t="s">
        <v>235</v>
      </c>
      <c r="C13" s="20" t="s">
        <v>33</v>
      </c>
      <c r="D13" s="20" t="s">
        <v>232</v>
      </c>
      <c r="E13" s="20" t="s">
        <v>69</v>
      </c>
      <c r="F13" s="22"/>
      <c r="G13" s="21" t="s">
        <v>236</v>
      </c>
      <c r="H13" s="18" t="s">
        <v>71</v>
      </c>
      <c r="I13" s="18" t="s">
        <v>73</v>
      </c>
      <c r="J13" s="18" t="s">
        <v>73</v>
      </c>
      <c r="K13" s="18" t="s">
        <v>73</v>
      </c>
      <c r="L13" s="18" t="s">
        <v>73</v>
      </c>
      <c r="M13" s="18" t="s">
        <v>96</v>
      </c>
      <c r="N13" s="18" t="s">
        <v>74</v>
      </c>
      <c r="O13" s="18" t="s">
        <v>75</v>
      </c>
      <c r="P13" s="19"/>
      <c r="Q13" s="18" t="n">
        <v>1</v>
      </c>
    </row>
    <row r="14" customFormat="false" ht="19.5" hidden="false" customHeight="true" outlineLevel="0" collapsed="false">
      <c r="A14" s="5" t="s">
        <v>237</v>
      </c>
      <c r="B14" s="6" t="s">
        <v>238</v>
      </c>
      <c r="C14" s="5" t="s">
        <v>33</v>
      </c>
      <c r="D14" s="5" t="s">
        <v>232</v>
      </c>
      <c r="E14" s="5" t="s">
        <v>69</v>
      </c>
      <c r="F14" s="17"/>
      <c r="G14" s="6" t="s">
        <v>239</v>
      </c>
      <c r="H14" s="18" t="s">
        <v>71</v>
      </c>
      <c r="I14" s="18" t="s">
        <v>73</v>
      </c>
      <c r="J14" s="18" t="s">
        <v>73</v>
      </c>
      <c r="K14" s="18" t="s">
        <v>73</v>
      </c>
      <c r="L14" s="18" t="s">
        <v>73</v>
      </c>
      <c r="M14" s="18" t="s">
        <v>96</v>
      </c>
      <c r="N14" s="18" t="s">
        <v>74</v>
      </c>
      <c r="O14" s="18" t="s">
        <v>75</v>
      </c>
      <c r="P14" s="19"/>
      <c r="Q14" s="18" t="n">
        <v>1</v>
      </c>
    </row>
    <row r="16" customFormat="false" ht="21.75" hidden="false" customHeight="true" outlineLevel="0" collapsed="false">
      <c r="A16" s="15" t="s">
        <v>100</v>
      </c>
      <c r="B16" s="15"/>
      <c r="C16" s="15"/>
      <c r="D16" s="15"/>
      <c r="E16" s="15"/>
      <c r="F16" s="15"/>
      <c r="G16" s="15"/>
    </row>
    <row r="17" customFormat="false" ht="27.75" hidden="false" customHeight="true" outlineLevel="0" collapsed="false">
      <c r="A17" s="4" t="s">
        <v>50</v>
      </c>
      <c r="B17" s="4" t="s">
        <v>51</v>
      </c>
      <c r="C17" s="4" t="s">
        <v>52</v>
      </c>
      <c r="D17" s="4" t="s">
        <v>53</v>
      </c>
      <c r="E17" s="4" t="s">
        <v>54</v>
      </c>
      <c r="F17" s="4" t="s">
        <v>55</v>
      </c>
      <c r="G17" s="4" t="s">
        <v>56</v>
      </c>
      <c r="H17" s="16" t="s">
        <v>57</v>
      </c>
      <c r="I17" s="16" t="s">
        <v>58</v>
      </c>
      <c r="J17" s="16" t="s">
        <v>59</v>
      </c>
      <c r="K17" s="16" t="s">
        <v>60</v>
      </c>
      <c r="L17" s="16" t="s">
        <v>61</v>
      </c>
      <c r="M17" s="16" t="s">
        <v>62</v>
      </c>
      <c r="N17" s="16" t="s">
        <v>63</v>
      </c>
      <c r="O17" s="16" t="s">
        <v>64</v>
      </c>
      <c r="P17" s="16" t="s">
        <v>28</v>
      </c>
      <c r="Q17" s="16" t="s">
        <v>65</v>
      </c>
    </row>
    <row r="18" customFormat="false" ht="19.5" hidden="false" customHeight="true" outlineLevel="0" collapsed="false">
      <c r="A18" s="5" t="s">
        <v>240</v>
      </c>
      <c r="B18" s="6" t="s">
        <v>241</v>
      </c>
      <c r="C18" s="5" t="s">
        <v>36</v>
      </c>
      <c r="D18" s="5" t="s">
        <v>225</v>
      </c>
      <c r="E18" s="5" t="s">
        <v>103</v>
      </c>
      <c r="F18" s="17"/>
      <c r="G18" s="6" t="s">
        <v>242</v>
      </c>
      <c r="H18" s="18" t="s">
        <v>71</v>
      </c>
      <c r="I18" s="18" t="s">
        <v>73</v>
      </c>
      <c r="J18" s="18" t="s">
        <v>73</v>
      </c>
      <c r="K18" s="18" t="s">
        <v>73</v>
      </c>
      <c r="L18" s="18" t="s">
        <v>73</v>
      </c>
      <c r="M18" s="18" t="s">
        <v>74</v>
      </c>
      <c r="N18" s="18" t="s">
        <v>74</v>
      </c>
      <c r="O18" s="18" t="s">
        <v>79</v>
      </c>
      <c r="P18" s="19"/>
      <c r="Q18" s="18" t="n">
        <v>1</v>
      </c>
    </row>
    <row r="19" customFormat="false" ht="19.5" hidden="false" customHeight="true" outlineLevel="0" collapsed="false">
      <c r="A19" s="20" t="s">
        <v>243</v>
      </c>
      <c r="B19" s="21" t="s">
        <v>244</v>
      </c>
      <c r="C19" s="20" t="s">
        <v>36</v>
      </c>
      <c r="D19" s="20" t="s">
        <v>221</v>
      </c>
      <c r="E19" s="20" t="s">
        <v>103</v>
      </c>
      <c r="F19" s="22"/>
      <c r="G19" s="21" t="s">
        <v>245</v>
      </c>
      <c r="H19" s="18" t="s">
        <v>71</v>
      </c>
      <c r="I19" s="18" t="s">
        <v>73</v>
      </c>
      <c r="J19" s="18" t="s">
        <v>73</v>
      </c>
      <c r="K19" s="18" t="s">
        <v>73</v>
      </c>
      <c r="L19" s="18" t="s">
        <v>73</v>
      </c>
      <c r="M19" s="18" t="s">
        <v>74</v>
      </c>
      <c r="N19" s="18" t="s">
        <v>74</v>
      </c>
      <c r="O19" s="18" t="s">
        <v>79</v>
      </c>
      <c r="P19" s="19"/>
      <c r="Q19" s="18" t="n">
        <v>1</v>
      </c>
    </row>
    <row r="21" customFormat="false" ht="21.75" hidden="false" customHeight="true" outlineLevel="0" collapsed="false">
      <c r="A21" s="15" t="s">
        <v>117</v>
      </c>
      <c r="B21" s="15"/>
      <c r="C21" s="15"/>
      <c r="D21" s="15"/>
      <c r="E21" s="15"/>
      <c r="F21" s="15"/>
      <c r="G21" s="15"/>
    </row>
    <row r="22" customFormat="false" ht="27.75" hidden="false" customHeight="true" outlineLevel="0" collapsed="false">
      <c r="A22" s="4" t="s">
        <v>50</v>
      </c>
      <c r="B22" s="4" t="s">
        <v>51</v>
      </c>
      <c r="C22" s="4" t="s">
        <v>52</v>
      </c>
      <c r="D22" s="4" t="s">
        <v>53</v>
      </c>
      <c r="E22" s="4" t="s">
        <v>54</v>
      </c>
      <c r="F22" s="4" t="s">
        <v>55</v>
      </c>
      <c r="G22" s="4" t="s">
        <v>56</v>
      </c>
      <c r="H22" s="16" t="s">
        <v>57</v>
      </c>
      <c r="I22" s="16" t="s">
        <v>58</v>
      </c>
      <c r="J22" s="16" t="s">
        <v>59</v>
      </c>
      <c r="K22" s="16" t="s">
        <v>60</v>
      </c>
      <c r="L22" s="16" t="s">
        <v>61</v>
      </c>
      <c r="M22" s="16" t="s">
        <v>62</v>
      </c>
      <c r="N22" s="16" t="s">
        <v>63</v>
      </c>
      <c r="O22" s="16" t="s">
        <v>64</v>
      </c>
      <c r="P22" s="16" t="s">
        <v>28</v>
      </c>
      <c r="Q22" s="16" t="s">
        <v>65</v>
      </c>
    </row>
    <row r="23" customFormat="false" ht="19.5" hidden="false" customHeight="true" outlineLevel="0" collapsed="false">
      <c r="A23" s="5" t="s">
        <v>246</v>
      </c>
      <c r="B23" s="6" t="s">
        <v>247</v>
      </c>
      <c r="C23" s="5" t="s">
        <v>39</v>
      </c>
      <c r="D23" s="5" t="s">
        <v>120</v>
      </c>
      <c r="E23" s="5" t="s">
        <v>103</v>
      </c>
      <c r="F23" s="17"/>
      <c r="G23" s="6" t="s">
        <v>121</v>
      </c>
      <c r="H23" s="18" t="s">
        <v>71</v>
      </c>
      <c r="I23" s="18" t="s">
        <v>73</v>
      </c>
      <c r="J23" s="18" t="s">
        <v>73</v>
      </c>
      <c r="K23" s="18" t="s">
        <v>73</v>
      </c>
      <c r="L23" s="18" t="s">
        <v>73</v>
      </c>
      <c r="M23" s="18" t="s">
        <v>74</v>
      </c>
      <c r="N23" s="18" t="s">
        <v>74</v>
      </c>
      <c r="O23" s="18" t="s">
        <v>79</v>
      </c>
      <c r="P23" s="19"/>
      <c r="Q23" s="18" t="n">
        <v>1</v>
      </c>
    </row>
    <row r="24" customFormat="false" ht="19.5" hidden="false" customHeight="true" outlineLevel="0" collapsed="false">
      <c r="A24" s="20" t="s">
        <v>248</v>
      </c>
      <c r="B24" s="21" t="s">
        <v>249</v>
      </c>
      <c r="C24" s="20" t="s">
        <v>39</v>
      </c>
      <c r="D24" s="20" t="s">
        <v>82</v>
      </c>
      <c r="E24" s="20" t="s">
        <v>103</v>
      </c>
      <c r="F24" s="22"/>
      <c r="G24" s="21" t="s">
        <v>250</v>
      </c>
      <c r="H24" s="18" t="s">
        <v>71</v>
      </c>
      <c r="I24" s="18" t="s">
        <v>73</v>
      </c>
      <c r="J24" s="18" t="s">
        <v>73</v>
      </c>
      <c r="K24" s="18" t="s">
        <v>73</v>
      </c>
      <c r="L24" s="18" t="s">
        <v>73</v>
      </c>
      <c r="M24" s="18" t="s">
        <v>96</v>
      </c>
      <c r="N24" s="18" t="s">
        <v>74</v>
      </c>
      <c r="O24" s="18" t="s">
        <v>75</v>
      </c>
      <c r="P24" s="19"/>
      <c r="Q24" s="18" t="n">
        <v>1</v>
      </c>
    </row>
    <row r="25" customFormat="false" ht="19.5" hidden="false" customHeight="true" outlineLevel="0" collapsed="false">
      <c r="A25" s="5" t="s">
        <v>251</v>
      </c>
      <c r="B25" s="25" t="s">
        <v>252</v>
      </c>
      <c r="C25" s="5" t="s">
        <v>39</v>
      </c>
      <c r="D25" s="5" t="s">
        <v>127</v>
      </c>
      <c r="E25" s="5" t="s">
        <v>103</v>
      </c>
      <c r="F25" s="32"/>
      <c r="G25" s="25"/>
      <c r="H25" s="18" t="s">
        <v>71</v>
      </c>
      <c r="I25" s="18" t="s">
        <v>73</v>
      </c>
      <c r="J25" s="18" t="s">
        <v>73</v>
      </c>
      <c r="K25" s="18" t="s">
        <v>73</v>
      </c>
      <c r="L25" s="18" t="s">
        <v>73</v>
      </c>
      <c r="M25" s="18" t="s">
        <v>96</v>
      </c>
      <c r="N25" s="18" t="s">
        <v>96</v>
      </c>
      <c r="O25" s="18" t="s">
        <v>75</v>
      </c>
      <c r="P25" s="19"/>
      <c r="Q25" s="18" t="n">
        <v>1</v>
      </c>
    </row>
    <row r="26" customFormat="false" ht="19.5" hidden="false" customHeight="true" outlineLevel="0" collapsed="false">
      <c r="A26" s="20" t="s">
        <v>253</v>
      </c>
      <c r="B26" s="25" t="s">
        <v>254</v>
      </c>
      <c r="C26" s="20" t="s">
        <v>39</v>
      </c>
      <c r="D26" s="5" t="s">
        <v>131</v>
      </c>
      <c r="E26" s="20" t="s">
        <v>103</v>
      </c>
      <c r="F26" s="32"/>
      <c r="G26" s="25"/>
      <c r="H26" s="18" t="s">
        <v>71</v>
      </c>
      <c r="I26" s="18" t="s">
        <v>73</v>
      </c>
      <c r="J26" s="18" t="s">
        <v>73</v>
      </c>
      <c r="K26" s="18" t="s">
        <v>73</v>
      </c>
      <c r="L26" s="18" t="s">
        <v>73</v>
      </c>
      <c r="M26" s="18" t="s">
        <v>96</v>
      </c>
      <c r="N26" s="18" t="s">
        <v>96</v>
      </c>
      <c r="O26" s="18" t="s">
        <v>75</v>
      </c>
      <c r="P26" s="19"/>
      <c r="Q26" s="18" t="n">
        <v>1</v>
      </c>
    </row>
    <row r="27" customFormat="false" ht="19.5" hidden="false" customHeight="true" outlineLevel="0" collapsed="false">
      <c r="A27" s="5" t="s">
        <v>255</v>
      </c>
      <c r="B27" s="25" t="s">
        <v>137</v>
      </c>
      <c r="C27" s="5" t="s">
        <v>39</v>
      </c>
      <c r="D27" s="26" t="s">
        <v>203</v>
      </c>
      <c r="E27" s="5" t="s">
        <v>103</v>
      </c>
      <c r="F27" s="27"/>
      <c r="G27" s="25"/>
      <c r="H27" s="18" t="s">
        <v>71</v>
      </c>
      <c r="I27" s="18" t="s">
        <v>73</v>
      </c>
      <c r="J27" s="18" t="s">
        <v>73</v>
      </c>
      <c r="K27" s="18" t="s">
        <v>73</v>
      </c>
      <c r="L27" s="18" t="s">
        <v>73</v>
      </c>
      <c r="M27" s="18" t="s">
        <v>96</v>
      </c>
      <c r="N27" s="18" t="s">
        <v>74</v>
      </c>
      <c r="O27" s="18" t="s">
        <v>79</v>
      </c>
      <c r="P27" s="19"/>
      <c r="Q27" s="18" t="n">
        <v>1</v>
      </c>
    </row>
    <row r="28" customFormat="false" ht="19.5" hidden="false" customHeight="true" outlineLevel="0" collapsed="false">
      <c r="A28" s="20" t="s">
        <v>256</v>
      </c>
      <c r="B28" s="25" t="s">
        <v>249</v>
      </c>
      <c r="C28" s="20" t="s">
        <v>39</v>
      </c>
      <c r="D28" s="26" t="s">
        <v>68</v>
      </c>
      <c r="E28" s="20" t="s">
        <v>103</v>
      </c>
      <c r="F28" s="27"/>
      <c r="G28" s="25"/>
      <c r="H28" s="18" t="s">
        <v>71</v>
      </c>
      <c r="I28" s="18" t="s">
        <v>73</v>
      </c>
      <c r="J28" s="18" t="s">
        <v>73</v>
      </c>
      <c r="K28" s="18" t="s">
        <v>73</v>
      </c>
      <c r="L28" s="18" t="s">
        <v>73</v>
      </c>
      <c r="M28" s="18" t="s">
        <v>96</v>
      </c>
      <c r="N28" s="18" t="s">
        <v>74</v>
      </c>
      <c r="O28" s="18" t="s">
        <v>75</v>
      </c>
      <c r="P28" s="19"/>
      <c r="Q28" s="18" t="n">
        <v>1</v>
      </c>
    </row>
    <row r="30" customFormat="false" ht="21.75" hidden="false" customHeight="true" outlineLevel="0" collapsed="false">
      <c r="A30" s="15" t="s">
        <v>142</v>
      </c>
      <c r="B30" s="15"/>
      <c r="C30" s="15"/>
      <c r="D30" s="15"/>
      <c r="E30" s="15"/>
      <c r="F30" s="15"/>
      <c r="G30" s="15"/>
    </row>
    <row r="31" customFormat="false" ht="27.75" hidden="false" customHeight="true" outlineLevel="0" collapsed="false">
      <c r="A31" s="4" t="s">
        <v>50</v>
      </c>
      <c r="B31" s="4" t="s">
        <v>51</v>
      </c>
      <c r="C31" s="4" t="s">
        <v>52</v>
      </c>
      <c r="D31" s="4" t="s">
        <v>53</v>
      </c>
      <c r="E31" s="4" t="s">
        <v>54</v>
      </c>
      <c r="F31" s="4" t="s">
        <v>55</v>
      </c>
      <c r="G31" s="4" t="s">
        <v>56</v>
      </c>
      <c r="H31" s="16" t="s">
        <v>57</v>
      </c>
      <c r="I31" s="16" t="s">
        <v>58</v>
      </c>
      <c r="J31" s="16" t="s">
        <v>59</v>
      </c>
      <c r="K31" s="16" t="s">
        <v>60</v>
      </c>
      <c r="L31" s="16" t="s">
        <v>61</v>
      </c>
      <c r="M31" s="16" t="s">
        <v>62</v>
      </c>
      <c r="N31" s="16" t="s">
        <v>63</v>
      </c>
      <c r="O31" s="16" t="s">
        <v>64</v>
      </c>
      <c r="P31" s="16" t="s">
        <v>28</v>
      </c>
      <c r="Q31" s="16" t="s">
        <v>65</v>
      </c>
    </row>
    <row r="32" customFormat="false" ht="19.5" hidden="false" customHeight="true" outlineLevel="0" collapsed="false">
      <c r="A32" s="5" t="s">
        <v>257</v>
      </c>
      <c r="B32" s="6" t="s">
        <v>258</v>
      </c>
      <c r="C32" s="5" t="s">
        <v>41</v>
      </c>
      <c r="D32" s="5" t="s">
        <v>259</v>
      </c>
      <c r="E32" s="5" t="s">
        <v>103</v>
      </c>
      <c r="F32" s="17"/>
      <c r="G32" s="6" t="s">
        <v>260</v>
      </c>
      <c r="H32" s="18" t="s">
        <v>71</v>
      </c>
      <c r="I32" s="18" t="s">
        <v>73</v>
      </c>
      <c r="J32" s="18" t="s">
        <v>73</v>
      </c>
      <c r="K32" s="18" t="s">
        <v>73</v>
      </c>
      <c r="L32" s="18" t="s">
        <v>73</v>
      </c>
      <c r="M32" s="18" t="s">
        <v>74</v>
      </c>
      <c r="N32" s="18" t="s">
        <v>74</v>
      </c>
      <c r="O32" s="18" t="s">
        <v>75</v>
      </c>
      <c r="P32" s="19"/>
      <c r="Q32" s="18" t="n">
        <v>1</v>
      </c>
    </row>
    <row r="34" customFormat="false" ht="21.75" hidden="false" customHeight="true" outlineLevel="0" collapsed="false">
      <c r="A34" s="15" t="s">
        <v>155</v>
      </c>
      <c r="B34" s="15"/>
      <c r="C34" s="15"/>
      <c r="D34" s="15"/>
      <c r="E34" s="15"/>
      <c r="F34" s="15"/>
      <c r="G34" s="15"/>
    </row>
    <row r="35" customFormat="false" ht="27.75" hidden="false" customHeight="true" outlineLevel="0" collapsed="false">
      <c r="A35" s="4" t="s">
        <v>50</v>
      </c>
      <c r="B35" s="4" t="s">
        <v>51</v>
      </c>
      <c r="C35" s="4" t="s">
        <v>52</v>
      </c>
      <c r="D35" s="4" t="s">
        <v>53</v>
      </c>
      <c r="E35" s="4" t="s">
        <v>54</v>
      </c>
      <c r="F35" s="4" t="s">
        <v>55</v>
      </c>
      <c r="G35" s="4" t="s">
        <v>56</v>
      </c>
      <c r="H35" s="16" t="s">
        <v>57</v>
      </c>
      <c r="I35" s="16" t="s">
        <v>58</v>
      </c>
      <c r="J35" s="16" t="s">
        <v>59</v>
      </c>
      <c r="K35" s="16" t="s">
        <v>60</v>
      </c>
      <c r="L35" s="16" t="s">
        <v>61</v>
      </c>
      <c r="M35" s="16" t="s">
        <v>62</v>
      </c>
      <c r="N35" s="16" t="s">
        <v>63</v>
      </c>
      <c r="O35" s="16" t="s">
        <v>64</v>
      </c>
      <c r="P35" s="16" t="s">
        <v>28</v>
      </c>
      <c r="Q35" s="16" t="s">
        <v>65</v>
      </c>
    </row>
    <row r="36" customFormat="false" ht="19.5" hidden="false" customHeight="true" outlineLevel="0" collapsed="false">
      <c r="A36" s="5" t="s">
        <v>261</v>
      </c>
      <c r="B36" s="6" t="s">
        <v>262</v>
      </c>
      <c r="C36" s="5" t="s">
        <v>43</v>
      </c>
      <c r="D36" s="5" t="s">
        <v>263</v>
      </c>
      <c r="E36" s="5" t="s">
        <v>69</v>
      </c>
      <c r="F36" s="23"/>
      <c r="G36" s="6" t="s">
        <v>264</v>
      </c>
      <c r="H36" s="18" t="s">
        <v>71</v>
      </c>
      <c r="I36" s="18" t="s">
        <v>73</v>
      </c>
      <c r="J36" s="18" t="s">
        <v>73</v>
      </c>
      <c r="K36" s="18" t="s">
        <v>73</v>
      </c>
      <c r="L36" s="18" t="s">
        <v>73</v>
      </c>
      <c r="M36" s="18" t="s">
        <v>96</v>
      </c>
      <c r="N36" s="18" t="s">
        <v>74</v>
      </c>
      <c r="O36" s="18" t="s">
        <v>75</v>
      </c>
      <c r="P36" s="19"/>
      <c r="Q36" s="18" t="n">
        <v>1</v>
      </c>
    </row>
  </sheetData>
  <mergeCells count="8">
    <mergeCell ref="A1:G1"/>
    <mergeCell ref="A2:G2"/>
    <mergeCell ref="A4:G4"/>
    <mergeCell ref="A10:G10"/>
    <mergeCell ref="A16:G16"/>
    <mergeCell ref="A21:G21"/>
    <mergeCell ref="A30:G30"/>
    <mergeCell ref="A34:G34"/>
  </mergeCells>
  <dataValidations count="6">
    <dataValidation allowBlank="true" errorStyle="stop" operator="between" showDropDown="false" showErrorMessage="false" showInputMessage="false" sqref="H5:H186" type="list">
      <formula1>"ALL,Import,Export"</formula1>
      <formula2>0</formula2>
    </dataValidation>
    <dataValidation allowBlank="true" errorStyle="stop" operator="between" showDropDown="false" showErrorMessage="false" showInputMessage="false" sqref="I5:I186" type="list">
      <formula1>"ALL,FCL,LCL,FTL,LTL"</formula1>
      <formula2>0</formula2>
    </dataValidation>
    <dataValidation allowBlank="true" errorStyle="stop" operator="between" showDropDown="false" showErrorMessage="false" showInputMessage="false" sqref="J5:J186" type="list">
      <formula1>"ALL,Palletized,Loose,Mixed"</formula1>
      <formula2>0</formula2>
    </dataValidation>
    <dataValidation allowBlank="true" errorStyle="stop" operator="between" showDropDown="false" showErrorMessage="false" showInputMessage="false" sqref="K5:K186" type="list">
      <formula1>"ALL,General,Refrigerated,OOG,Dangerous,Other"</formula1>
      <formula2>0</formula2>
    </dataValidation>
    <dataValidation allowBlank="true" errorStyle="stop" operator="between" showDropDown="false" showErrorMessage="false" showInputMessage="false" sqref="M5:N186" type="list">
      <formula1>"Y,N"</formula1>
      <formula2>0</formula2>
    </dataValidation>
    <dataValidation allowBlank="true" errorStyle="stop" operator="between" showDropDown="false" showErrorMessage="false" showInputMessage="false" sqref="O5:O186" type="list">
      <formula1>"Auto,Editable"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3" activeCellId="0" sqref="F33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39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13"/>
    <col collapsed="false" customWidth="true" hidden="false" outlineLevel="0" max="6" min="6" style="0" width="19"/>
    <col collapsed="false" customWidth="true" hidden="false" outlineLevel="0" max="7" min="7" style="0" width="33"/>
    <col collapsed="false" customWidth="true" hidden="false" outlineLevel="0" max="9" min="8" style="0" width="11"/>
    <col collapsed="false" customWidth="true" hidden="false" outlineLevel="0" max="10" min="10" style="0" width="13"/>
    <col collapsed="false" customWidth="true" hidden="false" outlineLevel="0" max="12" min="11" style="0" width="14"/>
    <col collapsed="false" customWidth="true" hidden="false" outlineLevel="0" max="14" min="13" style="0" width="11"/>
    <col collapsed="false" customWidth="true" hidden="false" outlineLevel="0" max="15" min="15" style="0" width="13"/>
    <col collapsed="false" customWidth="true" hidden="false" outlineLevel="0" max="16" min="16" style="0" width="10"/>
    <col collapsed="false" customWidth="true" hidden="false" outlineLevel="0" max="17" min="17" style="0" width="11"/>
  </cols>
  <sheetData>
    <row r="1" customFormat="false" ht="30" hidden="false" customHeight="true" outlineLevel="0" collapsed="false">
      <c r="A1" s="1" t="s">
        <v>265</v>
      </c>
      <c r="B1" s="1"/>
      <c r="C1" s="1"/>
      <c r="D1" s="1"/>
      <c r="E1" s="1"/>
      <c r="F1" s="1"/>
      <c r="G1" s="1"/>
      <c r="I1" s="13" t="s">
        <v>47</v>
      </c>
    </row>
    <row r="2" customFormat="false" ht="19.5" hidden="false" customHeight="true" outlineLevel="0" collapsed="false">
      <c r="A2" s="14" t="s">
        <v>266</v>
      </c>
      <c r="B2" s="14"/>
      <c r="C2" s="14"/>
      <c r="D2" s="14"/>
      <c r="E2" s="14"/>
      <c r="F2" s="14"/>
      <c r="G2" s="14"/>
    </row>
    <row r="4" customFormat="false" ht="21.75" hidden="false" customHeight="true" outlineLevel="0" collapsed="false">
      <c r="A4" s="15" t="s">
        <v>49</v>
      </c>
      <c r="B4" s="15"/>
      <c r="C4" s="15"/>
      <c r="D4" s="15"/>
      <c r="E4" s="15"/>
      <c r="F4" s="15"/>
      <c r="G4" s="15"/>
    </row>
    <row r="5" customFormat="false" ht="27.75" hidden="false" customHeight="true" outlineLevel="0" collapsed="false">
      <c r="A5" s="4" t="s">
        <v>50</v>
      </c>
      <c r="B5" s="4" t="s">
        <v>51</v>
      </c>
      <c r="C5" s="4" t="s">
        <v>52</v>
      </c>
      <c r="D5" s="4" t="s">
        <v>53</v>
      </c>
      <c r="E5" s="4" t="s">
        <v>54</v>
      </c>
      <c r="F5" s="4" t="s">
        <v>55</v>
      </c>
      <c r="G5" s="4" t="s">
        <v>56</v>
      </c>
      <c r="H5" s="16" t="s">
        <v>57</v>
      </c>
      <c r="I5" s="16" t="s">
        <v>58</v>
      </c>
      <c r="J5" s="16" t="s">
        <v>59</v>
      </c>
      <c r="K5" s="16" t="s">
        <v>60</v>
      </c>
      <c r="L5" s="16" t="s">
        <v>61</v>
      </c>
      <c r="M5" s="16" t="s">
        <v>62</v>
      </c>
      <c r="N5" s="16" t="s">
        <v>63</v>
      </c>
      <c r="O5" s="16" t="s">
        <v>64</v>
      </c>
      <c r="P5" s="16" t="s">
        <v>28</v>
      </c>
      <c r="Q5" s="16" t="s">
        <v>65</v>
      </c>
    </row>
    <row r="6" customFormat="false" ht="19.5" hidden="false" customHeight="true" outlineLevel="0" collapsed="false">
      <c r="A6" s="5" t="s">
        <v>267</v>
      </c>
      <c r="B6" s="6" t="s">
        <v>268</v>
      </c>
      <c r="C6" s="5" t="s">
        <v>30</v>
      </c>
      <c r="D6" s="5" t="s">
        <v>82</v>
      </c>
      <c r="E6" s="5" t="s">
        <v>103</v>
      </c>
      <c r="F6" s="17"/>
      <c r="G6" s="6" t="s">
        <v>269</v>
      </c>
      <c r="H6" s="18" t="s">
        <v>166</v>
      </c>
      <c r="I6" s="18" t="s">
        <v>73</v>
      </c>
      <c r="J6" s="18" t="s">
        <v>73</v>
      </c>
      <c r="K6" s="18" t="s">
        <v>73</v>
      </c>
      <c r="L6" s="18" t="s">
        <v>73</v>
      </c>
      <c r="M6" s="18" t="s">
        <v>74</v>
      </c>
      <c r="N6" s="18" t="s">
        <v>74</v>
      </c>
      <c r="O6" s="18" t="s">
        <v>75</v>
      </c>
      <c r="P6" s="19"/>
      <c r="Q6" s="18" t="n">
        <v>1</v>
      </c>
    </row>
    <row r="7" customFormat="false" ht="19.5" hidden="false" customHeight="true" outlineLevel="0" collapsed="false">
      <c r="A7" s="20" t="s">
        <v>270</v>
      </c>
      <c r="B7" s="21" t="s">
        <v>271</v>
      </c>
      <c r="C7" s="20" t="s">
        <v>30</v>
      </c>
      <c r="D7" s="20" t="s">
        <v>221</v>
      </c>
      <c r="E7" s="20" t="s">
        <v>103</v>
      </c>
      <c r="F7" s="22"/>
      <c r="G7" s="21" t="s">
        <v>272</v>
      </c>
      <c r="H7" s="18" t="s">
        <v>166</v>
      </c>
      <c r="I7" s="18" t="s">
        <v>73</v>
      </c>
      <c r="J7" s="18" t="s">
        <v>73</v>
      </c>
      <c r="K7" s="18" t="s">
        <v>73</v>
      </c>
      <c r="L7" s="18" t="s">
        <v>73</v>
      </c>
      <c r="M7" s="18" t="s">
        <v>74</v>
      </c>
      <c r="N7" s="18" t="s">
        <v>74</v>
      </c>
      <c r="O7" s="18" t="s">
        <v>79</v>
      </c>
      <c r="P7" s="19"/>
      <c r="Q7" s="18" t="n">
        <v>1</v>
      </c>
    </row>
    <row r="8" customFormat="false" ht="19.5" hidden="false" customHeight="true" outlineLevel="0" collapsed="false">
      <c r="A8" s="5" t="s">
        <v>273</v>
      </c>
      <c r="B8" s="6" t="s">
        <v>274</v>
      </c>
      <c r="C8" s="5" t="s">
        <v>30</v>
      </c>
      <c r="D8" s="5" t="s">
        <v>225</v>
      </c>
      <c r="E8" s="5" t="s">
        <v>103</v>
      </c>
      <c r="F8" s="17"/>
      <c r="G8" s="6" t="s">
        <v>275</v>
      </c>
      <c r="H8" s="18" t="s">
        <v>166</v>
      </c>
      <c r="I8" s="18" t="s">
        <v>73</v>
      </c>
      <c r="J8" s="18" t="s">
        <v>73</v>
      </c>
      <c r="K8" s="18" t="s">
        <v>73</v>
      </c>
      <c r="L8" s="18" t="s">
        <v>73</v>
      </c>
      <c r="M8" s="18" t="s">
        <v>74</v>
      </c>
      <c r="N8" s="18" t="s">
        <v>74</v>
      </c>
      <c r="O8" s="18" t="s">
        <v>79</v>
      </c>
      <c r="P8" s="19"/>
      <c r="Q8" s="18" t="n">
        <v>1</v>
      </c>
    </row>
    <row r="9" customFormat="false" ht="19.5" hidden="false" customHeight="true" outlineLevel="0" collapsed="false">
      <c r="A9" s="5" t="s">
        <v>276</v>
      </c>
      <c r="B9" s="28" t="s">
        <v>277</v>
      </c>
      <c r="C9" s="5" t="s">
        <v>30</v>
      </c>
      <c r="D9" s="29" t="s">
        <v>225</v>
      </c>
      <c r="E9" s="5" t="s">
        <v>103</v>
      </c>
      <c r="F9" s="17"/>
      <c r="G9" s="28"/>
      <c r="H9" s="18" t="s">
        <v>166</v>
      </c>
      <c r="I9" s="18" t="s">
        <v>73</v>
      </c>
      <c r="J9" s="18" t="s">
        <v>73</v>
      </c>
      <c r="K9" s="18" t="s">
        <v>73</v>
      </c>
      <c r="L9" s="18" t="s">
        <v>73</v>
      </c>
      <c r="M9" s="18" t="s">
        <v>96</v>
      </c>
      <c r="N9" s="18" t="s">
        <v>74</v>
      </c>
      <c r="O9" s="18" t="s">
        <v>79</v>
      </c>
      <c r="P9" s="19"/>
      <c r="Q9" s="18" t="n">
        <v>1</v>
      </c>
    </row>
    <row r="10" customFormat="false" ht="19.5" hidden="false" customHeight="true" outlineLevel="0" collapsed="false">
      <c r="A10" s="20" t="s">
        <v>278</v>
      </c>
      <c r="B10" s="28" t="s">
        <v>279</v>
      </c>
      <c r="C10" s="20" t="s">
        <v>30</v>
      </c>
      <c r="D10" s="29" t="s">
        <v>280</v>
      </c>
      <c r="E10" s="20" t="s">
        <v>103</v>
      </c>
      <c r="F10" s="22"/>
      <c r="G10" s="28"/>
      <c r="H10" s="18" t="s">
        <v>166</v>
      </c>
      <c r="I10" s="18" t="s">
        <v>73</v>
      </c>
      <c r="J10" s="18" t="s">
        <v>73</v>
      </c>
      <c r="K10" s="18" t="s">
        <v>73</v>
      </c>
      <c r="L10" s="18" t="s">
        <v>73</v>
      </c>
      <c r="M10" s="18" t="s">
        <v>96</v>
      </c>
      <c r="N10" s="18" t="s">
        <v>74</v>
      </c>
      <c r="O10" s="18" t="s">
        <v>75</v>
      </c>
      <c r="P10" s="19"/>
      <c r="Q10" s="18" t="n">
        <v>1</v>
      </c>
    </row>
    <row r="11" customFormat="false" ht="19.5" hidden="false" customHeight="true" outlineLevel="0" collapsed="false">
      <c r="A11" s="5" t="s">
        <v>281</v>
      </c>
      <c r="B11" s="28" t="s">
        <v>282</v>
      </c>
      <c r="C11" s="5" t="s">
        <v>30</v>
      </c>
      <c r="D11" s="29" t="s">
        <v>283</v>
      </c>
      <c r="E11" s="5" t="s">
        <v>103</v>
      </c>
      <c r="F11" s="17"/>
      <c r="G11" s="28"/>
      <c r="H11" s="18" t="s">
        <v>166</v>
      </c>
      <c r="I11" s="18" t="s">
        <v>73</v>
      </c>
      <c r="J11" s="18" t="s">
        <v>73</v>
      </c>
      <c r="K11" s="18" t="s">
        <v>73</v>
      </c>
      <c r="L11" s="18" t="s">
        <v>73</v>
      </c>
      <c r="M11" s="18" t="s">
        <v>96</v>
      </c>
      <c r="N11" s="18" t="s">
        <v>74</v>
      </c>
      <c r="O11" s="18" t="s">
        <v>79</v>
      </c>
      <c r="P11" s="19"/>
      <c r="Q11" s="18" t="n">
        <v>1</v>
      </c>
    </row>
    <row r="13" customFormat="false" ht="21.75" hidden="false" customHeight="true" outlineLevel="0" collapsed="false">
      <c r="A13" s="15" t="s">
        <v>89</v>
      </c>
      <c r="B13" s="15"/>
      <c r="C13" s="15"/>
      <c r="D13" s="15"/>
      <c r="E13" s="15"/>
      <c r="F13" s="15"/>
      <c r="G13" s="15"/>
    </row>
    <row r="14" customFormat="false" ht="27.75" hidden="false" customHeight="true" outlineLevel="0" collapsed="false">
      <c r="A14" s="4" t="s">
        <v>50</v>
      </c>
      <c r="B14" s="4" t="s">
        <v>51</v>
      </c>
      <c r="C14" s="4" t="s">
        <v>52</v>
      </c>
      <c r="D14" s="4" t="s">
        <v>53</v>
      </c>
      <c r="E14" s="4" t="s">
        <v>54</v>
      </c>
      <c r="F14" s="4" t="s">
        <v>55</v>
      </c>
      <c r="G14" s="4" t="s">
        <v>56</v>
      </c>
      <c r="H14" s="16" t="s">
        <v>57</v>
      </c>
      <c r="I14" s="16" t="s">
        <v>58</v>
      </c>
      <c r="J14" s="16" t="s">
        <v>59</v>
      </c>
      <c r="K14" s="16" t="s">
        <v>60</v>
      </c>
      <c r="L14" s="16" t="s">
        <v>61</v>
      </c>
      <c r="M14" s="16" t="s">
        <v>62</v>
      </c>
      <c r="N14" s="16" t="s">
        <v>63</v>
      </c>
      <c r="O14" s="16" t="s">
        <v>64</v>
      </c>
      <c r="P14" s="16" t="s">
        <v>28</v>
      </c>
      <c r="Q14" s="16" t="s">
        <v>65</v>
      </c>
    </row>
    <row r="15" customFormat="false" ht="19.5" hidden="false" customHeight="true" outlineLevel="0" collapsed="false">
      <c r="A15" s="5" t="s">
        <v>284</v>
      </c>
      <c r="B15" s="6" t="s">
        <v>285</v>
      </c>
      <c r="C15" s="5" t="s">
        <v>33</v>
      </c>
      <c r="D15" s="5" t="s">
        <v>232</v>
      </c>
      <c r="E15" s="5" t="s">
        <v>69</v>
      </c>
      <c r="F15" s="17"/>
      <c r="G15" s="6" t="s">
        <v>286</v>
      </c>
      <c r="H15" s="18" t="s">
        <v>166</v>
      </c>
      <c r="I15" s="18" t="s">
        <v>73</v>
      </c>
      <c r="J15" s="18" t="s">
        <v>73</v>
      </c>
      <c r="K15" s="18" t="s">
        <v>73</v>
      </c>
      <c r="L15" s="18" t="s">
        <v>73</v>
      </c>
      <c r="M15" s="18" t="s">
        <v>74</v>
      </c>
      <c r="N15" s="18" t="s">
        <v>74</v>
      </c>
      <c r="O15" s="18" t="s">
        <v>75</v>
      </c>
      <c r="P15" s="19"/>
      <c r="Q15" s="18" t="n">
        <v>1</v>
      </c>
    </row>
    <row r="16" customFormat="false" ht="19.5" hidden="false" customHeight="true" outlineLevel="0" collapsed="false">
      <c r="A16" s="20" t="s">
        <v>287</v>
      </c>
      <c r="B16" s="21" t="s">
        <v>288</v>
      </c>
      <c r="C16" s="20" t="s">
        <v>33</v>
      </c>
      <c r="D16" s="20" t="s">
        <v>221</v>
      </c>
      <c r="E16" s="20" t="s">
        <v>69</v>
      </c>
      <c r="F16" s="22"/>
      <c r="G16" s="21" t="s">
        <v>289</v>
      </c>
      <c r="H16" s="18" t="s">
        <v>166</v>
      </c>
      <c r="I16" s="18" t="s">
        <v>73</v>
      </c>
      <c r="J16" s="18" t="s">
        <v>73</v>
      </c>
      <c r="K16" s="18" t="s">
        <v>73</v>
      </c>
      <c r="L16" s="18" t="s">
        <v>73</v>
      </c>
      <c r="M16" s="18" t="s">
        <v>96</v>
      </c>
      <c r="N16" s="18" t="s">
        <v>74</v>
      </c>
      <c r="O16" s="18" t="s">
        <v>75</v>
      </c>
      <c r="P16" s="19"/>
      <c r="Q16" s="18" t="n">
        <v>1</v>
      </c>
    </row>
    <row r="17" customFormat="false" ht="19.5" hidden="false" customHeight="true" outlineLevel="0" collapsed="false">
      <c r="A17" s="5" t="s">
        <v>290</v>
      </c>
      <c r="B17" s="25" t="s">
        <v>291</v>
      </c>
      <c r="C17" s="20" t="s">
        <v>33</v>
      </c>
      <c r="D17" s="26" t="s">
        <v>225</v>
      </c>
      <c r="E17" s="26"/>
      <c r="F17" s="27"/>
      <c r="G17" s="25"/>
      <c r="H17" s="18" t="s">
        <v>166</v>
      </c>
      <c r="I17" s="18" t="s">
        <v>73</v>
      </c>
      <c r="J17" s="18" t="s">
        <v>73</v>
      </c>
      <c r="K17" s="18" t="s">
        <v>193</v>
      </c>
      <c r="L17" s="18" t="s">
        <v>73</v>
      </c>
      <c r="M17" s="18" t="s">
        <v>96</v>
      </c>
      <c r="N17" s="18" t="s">
        <v>74</v>
      </c>
      <c r="O17" s="18" t="s">
        <v>75</v>
      </c>
      <c r="P17" s="19"/>
      <c r="Q17" s="18" t="n">
        <v>1</v>
      </c>
    </row>
    <row r="19" customFormat="false" ht="21.75" hidden="false" customHeight="true" outlineLevel="0" collapsed="false">
      <c r="A19" s="15" t="s">
        <v>100</v>
      </c>
      <c r="B19" s="15"/>
      <c r="C19" s="15"/>
      <c r="D19" s="15"/>
      <c r="E19" s="15"/>
      <c r="F19" s="15"/>
      <c r="G19" s="15"/>
    </row>
    <row r="20" customFormat="false" ht="27.75" hidden="false" customHeight="true" outlineLevel="0" collapsed="false">
      <c r="A20" s="4" t="s">
        <v>50</v>
      </c>
      <c r="B20" s="4" t="s">
        <v>51</v>
      </c>
      <c r="C20" s="4" t="s">
        <v>52</v>
      </c>
      <c r="D20" s="4" t="s">
        <v>53</v>
      </c>
      <c r="E20" s="4" t="s">
        <v>54</v>
      </c>
      <c r="F20" s="4" t="s">
        <v>55</v>
      </c>
      <c r="G20" s="4" t="s">
        <v>56</v>
      </c>
      <c r="H20" s="16" t="s">
        <v>57</v>
      </c>
      <c r="I20" s="16" t="s">
        <v>58</v>
      </c>
      <c r="J20" s="16" t="s">
        <v>59</v>
      </c>
      <c r="K20" s="16" t="s">
        <v>60</v>
      </c>
      <c r="L20" s="16" t="s">
        <v>61</v>
      </c>
      <c r="M20" s="16" t="s">
        <v>62</v>
      </c>
      <c r="N20" s="16" t="s">
        <v>63</v>
      </c>
      <c r="O20" s="16" t="s">
        <v>64</v>
      </c>
      <c r="P20" s="16" t="s">
        <v>28</v>
      </c>
      <c r="Q20" s="16" t="s">
        <v>65</v>
      </c>
    </row>
    <row r="21" customFormat="false" ht="19.5" hidden="false" customHeight="true" outlineLevel="0" collapsed="false">
      <c r="A21" s="5" t="s">
        <v>292</v>
      </c>
      <c r="B21" s="6" t="s">
        <v>293</v>
      </c>
      <c r="C21" s="5" t="s">
        <v>36</v>
      </c>
      <c r="D21" s="5" t="s">
        <v>225</v>
      </c>
      <c r="E21" s="5" t="s">
        <v>69</v>
      </c>
      <c r="F21" s="17"/>
      <c r="G21" s="6" t="s">
        <v>294</v>
      </c>
      <c r="H21" s="18" t="s">
        <v>166</v>
      </c>
      <c r="I21" s="18" t="s">
        <v>73</v>
      </c>
      <c r="J21" s="18" t="s">
        <v>73</v>
      </c>
      <c r="K21" s="18" t="s">
        <v>73</v>
      </c>
      <c r="L21" s="18" t="s">
        <v>295</v>
      </c>
      <c r="M21" s="18" t="s">
        <v>74</v>
      </c>
      <c r="N21" s="18" t="s">
        <v>74</v>
      </c>
      <c r="O21" s="18" t="s">
        <v>79</v>
      </c>
      <c r="P21" s="19"/>
      <c r="Q21" s="18" t="n">
        <v>1</v>
      </c>
    </row>
    <row r="23" customFormat="false" ht="21.75" hidden="false" customHeight="true" outlineLevel="0" collapsed="false">
      <c r="A23" s="15" t="s">
        <v>117</v>
      </c>
      <c r="B23" s="15"/>
      <c r="C23" s="15"/>
      <c r="D23" s="15"/>
      <c r="E23" s="15"/>
      <c r="F23" s="15"/>
      <c r="G23" s="15"/>
    </row>
    <row r="24" customFormat="false" ht="27.75" hidden="false" customHeight="true" outlineLevel="0" collapsed="false">
      <c r="A24" s="4" t="s">
        <v>50</v>
      </c>
      <c r="B24" s="4" t="s">
        <v>51</v>
      </c>
      <c r="C24" s="4" t="s">
        <v>52</v>
      </c>
      <c r="D24" s="4" t="s">
        <v>53</v>
      </c>
      <c r="E24" s="4" t="s">
        <v>54</v>
      </c>
      <c r="F24" s="4" t="s">
        <v>55</v>
      </c>
      <c r="G24" s="4" t="s">
        <v>56</v>
      </c>
      <c r="H24" s="16" t="s">
        <v>57</v>
      </c>
      <c r="I24" s="16" t="s">
        <v>58</v>
      </c>
      <c r="J24" s="16" t="s">
        <v>59</v>
      </c>
      <c r="K24" s="16" t="s">
        <v>60</v>
      </c>
      <c r="L24" s="16" t="s">
        <v>61</v>
      </c>
      <c r="M24" s="16" t="s">
        <v>62</v>
      </c>
      <c r="N24" s="16" t="s">
        <v>63</v>
      </c>
      <c r="O24" s="16" t="s">
        <v>64</v>
      </c>
      <c r="P24" s="16" t="s">
        <v>28</v>
      </c>
      <c r="Q24" s="16" t="s">
        <v>65</v>
      </c>
    </row>
    <row r="25" customFormat="false" ht="19.5" hidden="false" customHeight="true" outlineLevel="0" collapsed="false">
      <c r="A25" s="5" t="s">
        <v>296</v>
      </c>
      <c r="B25" s="6" t="s">
        <v>202</v>
      </c>
      <c r="C25" s="5" t="s">
        <v>39</v>
      </c>
      <c r="D25" s="5" t="s">
        <v>82</v>
      </c>
      <c r="E25" s="5" t="s">
        <v>69</v>
      </c>
      <c r="F25" s="17"/>
      <c r="G25" s="6" t="s">
        <v>297</v>
      </c>
      <c r="H25" s="18" t="s">
        <v>166</v>
      </c>
      <c r="I25" s="18" t="s">
        <v>73</v>
      </c>
      <c r="J25" s="18" t="s">
        <v>73</v>
      </c>
      <c r="K25" s="18" t="s">
        <v>73</v>
      </c>
      <c r="L25" s="18" t="s">
        <v>73</v>
      </c>
      <c r="M25" s="18" t="s">
        <v>74</v>
      </c>
      <c r="N25" s="18" t="s">
        <v>74</v>
      </c>
      <c r="O25" s="18" t="s">
        <v>79</v>
      </c>
      <c r="P25" s="19"/>
      <c r="Q25" s="18" t="n">
        <v>1</v>
      </c>
    </row>
    <row r="27" customFormat="false" ht="21.75" hidden="false" customHeight="true" outlineLevel="0" collapsed="false">
      <c r="A27" s="15" t="s">
        <v>142</v>
      </c>
      <c r="B27" s="15"/>
      <c r="C27" s="15"/>
      <c r="D27" s="15"/>
      <c r="E27" s="15"/>
      <c r="F27" s="15"/>
      <c r="G27" s="15"/>
    </row>
    <row r="28" customFormat="false" ht="27.75" hidden="false" customHeight="true" outlineLevel="0" collapsed="false">
      <c r="A28" s="4" t="s">
        <v>50</v>
      </c>
      <c r="B28" s="4" t="s">
        <v>51</v>
      </c>
      <c r="C28" s="4" t="s">
        <v>52</v>
      </c>
      <c r="D28" s="4" t="s">
        <v>53</v>
      </c>
      <c r="E28" s="4" t="s">
        <v>54</v>
      </c>
      <c r="F28" s="4" t="s">
        <v>55</v>
      </c>
      <c r="G28" s="4" t="s">
        <v>56</v>
      </c>
      <c r="H28" s="16" t="s">
        <v>57</v>
      </c>
      <c r="I28" s="16" t="s">
        <v>58</v>
      </c>
      <c r="J28" s="16" t="s">
        <v>59</v>
      </c>
      <c r="K28" s="16" t="s">
        <v>60</v>
      </c>
      <c r="L28" s="16" t="s">
        <v>61</v>
      </c>
      <c r="M28" s="16" t="s">
        <v>62</v>
      </c>
      <c r="N28" s="16" t="s">
        <v>63</v>
      </c>
      <c r="O28" s="16" t="s">
        <v>64</v>
      </c>
      <c r="P28" s="16" t="s">
        <v>28</v>
      </c>
      <c r="Q28" s="16" t="s">
        <v>65</v>
      </c>
    </row>
    <row r="29" customFormat="false" ht="19.5" hidden="false" customHeight="true" outlineLevel="0" collapsed="false">
      <c r="A29" s="5" t="s">
        <v>298</v>
      </c>
      <c r="B29" s="6" t="s">
        <v>299</v>
      </c>
      <c r="C29" s="5" t="s">
        <v>41</v>
      </c>
      <c r="D29" s="5" t="s">
        <v>209</v>
      </c>
      <c r="E29" s="5" t="s">
        <v>69</v>
      </c>
      <c r="F29" s="17"/>
      <c r="G29" s="6" t="s">
        <v>300</v>
      </c>
      <c r="H29" s="18" t="s">
        <v>166</v>
      </c>
      <c r="I29" s="18" t="s">
        <v>73</v>
      </c>
      <c r="J29" s="18" t="s">
        <v>73</v>
      </c>
      <c r="K29" s="18" t="s">
        <v>73</v>
      </c>
      <c r="L29" s="18" t="s">
        <v>73</v>
      </c>
      <c r="M29" s="18" t="s">
        <v>74</v>
      </c>
      <c r="N29" s="18" t="s">
        <v>74</v>
      </c>
      <c r="O29" s="18" t="s">
        <v>75</v>
      </c>
      <c r="P29" s="19"/>
      <c r="Q29" s="18" t="n">
        <v>1</v>
      </c>
    </row>
    <row r="31" customFormat="false" ht="21.75" hidden="false" customHeight="true" outlineLevel="0" collapsed="false">
      <c r="A31" s="15" t="s">
        <v>155</v>
      </c>
      <c r="B31" s="15"/>
      <c r="C31" s="15"/>
      <c r="D31" s="15"/>
      <c r="E31" s="15"/>
      <c r="F31" s="15"/>
      <c r="G31" s="15"/>
    </row>
    <row r="32" customFormat="false" ht="27.75" hidden="false" customHeight="true" outlineLevel="0" collapsed="false">
      <c r="A32" s="4" t="s">
        <v>50</v>
      </c>
      <c r="B32" s="4" t="s">
        <v>51</v>
      </c>
      <c r="C32" s="4" t="s">
        <v>52</v>
      </c>
      <c r="D32" s="4" t="s">
        <v>53</v>
      </c>
      <c r="E32" s="4" t="s">
        <v>54</v>
      </c>
      <c r="F32" s="4" t="s">
        <v>55</v>
      </c>
      <c r="G32" s="4" t="s">
        <v>56</v>
      </c>
      <c r="H32" s="16" t="s">
        <v>57</v>
      </c>
      <c r="I32" s="16" t="s">
        <v>58</v>
      </c>
      <c r="J32" s="16" t="s">
        <v>59</v>
      </c>
      <c r="K32" s="16" t="s">
        <v>60</v>
      </c>
      <c r="L32" s="16" t="s">
        <v>61</v>
      </c>
      <c r="M32" s="16" t="s">
        <v>62</v>
      </c>
      <c r="N32" s="16" t="s">
        <v>63</v>
      </c>
      <c r="O32" s="16" t="s">
        <v>64</v>
      </c>
      <c r="P32" s="16" t="s">
        <v>28</v>
      </c>
      <c r="Q32" s="16" t="s">
        <v>65</v>
      </c>
    </row>
    <row r="33" customFormat="false" ht="19.5" hidden="false" customHeight="true" outlineLevel="0" collapsed="false">
      <c r="A33" s="5" t="s">
        <v>301</v>
      </c>
      <c r="B33" s="6" t="s">
        <v>302</v>
      </c>
      <c r="C33" s="5" t="s">
        <v>43</v>
      </c>
      <c r="D33" s="5" t="s">
        <v>127</v>
      </c>
      <c r="E33" s="5" t="s">
        <v>69</v>
      </c>
      <c r="F33" s="23"/>
      <c r="G33" s="6" t="s">
        <v>303</v>
      </c>
      <c r="H33" s="18" t="s">
        <v>166</v>
      </c>
      <c r="I33" s="18" t="s">
        <v>73</v>
      </c>
      <c r="J33" s="18" t="s">
        <v>73</v>
      </c>
      <c r="K33" s="18" t="s">
        <v>73</v>
      </c>
      <c r="L33" s="18" t="s">
        <v>73</v>
      </c>
      <c r="M33" s="18" t="s">
        <v>96</v>
      </c>
      <c r="N33" s="18" t="s">
        <v>74</v>
      </c>
      <c r="O33" s="18" t="s">
        <v>75</v>
      </c>
      <c r="P33" s="19"/>
      <c r="Q33" s="18" t="n">
        <v>1</v>
      </c>
    </row>
  </sheetData>
  <mergeCells count="8">
    <mergeCell ref="A1:G1"/>
    <mergeCell ref="A2:G2"/>
    <mergeCell ref="A4:G4"/>
    <mergeCell ref="A13:G13"/>
    <mergeCell ref="A19:G19"/>
    <mergeCell ref="A23:G23"/>
    <mergeCell ref="A27:G27"/>
    <mergeCell ref="A31:G31"/>
  </mergeCells>
  <dataValidations count="6">
    <dataValidation allowBlank="true" errorStyle="stop" operator="between" showDropDown="false" showErrorMessage="false" showInputMessage="false" sqref="H5:H183" type="list">
      <formula1>"ALL,Import,Export"</formula1>
      <formula2>0</formula2>
    </dataValidation>
    <dataValidation allowBlank="true" errorStyle="stop" operator="between" showDropDown="false" showErrorMessage="false" showInputMessage="false" sqref="I5:I183" type="list">
      <formula1>"ALL,FCL,LCL,FTL,LTL"</formula1>
      <formula2>0</formula2>
    </dataValidation>
    <dataValidation allowBlank="true" errorStyle="stop" operator="between" showDropDown="false" showErrorMessage="false" showInputMessage="false" sqref="J5:J183" type="list">
      <formula1>"ALL,Palletized,Loose,Mixed"</formula1>
      <formula2>0</formula2>
    </dataValidation>
    <dataValidation allowBlank="true" errorStyle="stop" operator="between" showDropDown="false" showErrorMessage="false" showInputMessage="false" sqref="K5:K183" type="list">
      <formula1>"ALL,General,Refrigerated,OOG,Dangerous,Other"</formula1>
      <formula2>0</formula2>
    </dataValidation>
    <dataValidation allowBlank="true" errorStyle="stop" operator="between" showDropDown="false" showErrorMessage="false" showInputMessage="false" sqref="M5:N183" type="list">
      <formula1>"Y,N"</formula1>
      <formula2>0</formula2>
    </dataValidation>
    <dataValidation allowBlank="true" errorStyle="stop" operator="between" showDropDown="false" showErrorMessage="false" showInputMessage="false" sqref="O5:O183" type="list">
      <formula1>"Auto,Editable"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1" activeCellId="0" sqref="F31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52"/>
    <col collapsed="false" customWidth="true" hidden="false" outlineLevel="0" max="3" min="3" style="0" width="24"/>
    <col collapsed="false" customWidth="true" hidden="false" outlineLevel="0" max="4" min="4" style="0" width="25"/>
    <col collapsed="false" customWidth="true" hidden="false" outlineLevel="0" max="5" min="5" style="0" width="13"/>
    <col collapsed="false" customWidth="true" hidden="false" outlineLevel="0" max="6" min="6" style="0" width="19"/>
    <col collapsed="false" customWidth="true" hidden="false" outlineLevel="0" max="7" min="7" style="0" width="33"/>
    <col collapsed="false" customWidth="true" hidden="false" outlineLevel="0" max="9" min="8" style="0" width="11"/>
    <col collapsed="false" customWidth="true" hidden="false" outlineLevel="0" max="10" min="10" style="0" width="13"/>
    <col collapsed="false" customWidth="true" hidden="false" outlineLevel="0" max="12" min="11" style="0" width="14"/>
    <col collapsed="false" customWidth="true" hidden="false" outlineLevel="0" max="14" min="13" style="0" width="11"/>
    <col collapsed="false" customWidth="true" hidden="false" outlineLevel="0" max="15" min="15" style="0" width="13"/>
    <col collapsed="false" customWidth="true" hidden="false" outlineLevel="0" max="16" min="16" style="0" width="10"/>
    <col collapsed="false" customWidth="true" hidden="false" outlineLevel="0" max="17" min="17" style="0" width="11"/>
  </cols>
  <sheetData>
    <row r="1" customFormat="false" ht="30" hidden="false" customHeight="true" outlineLevel="0" collapsed="false">
      <c r="A1" s="1" t="s">
        <v>304</v>
      </c>
      <c r="B1" s="1"/>
      <c r="C1" s="1"/>
      <c r="D1" s="1"/>
      <c r="E1" s="1"/>
      <c r="F1" s="1"/>
      <c r="G1" s="1"/>
      <c r="I1" s="13" t="s">
        <v>47</v>
      </c>
    </row>
    <row r="2" customFormat="false" ht="19.5" hidden="false" customHeight="true" outlineLevel="0" collapsed="false">
      <c r="A2" s="14" t="s">
        <v>305</v>
      </c>
      <c r="B2" s="14"/>
      <c r="C2" s="14"/>
      <c r="D2" s="14"/>
      <c r="E2" s="14"/>
      <c r="F2" s="14"/>
      <c r="G2" s="14"/>
    </row>
    <row r="4" customFormat="false" ht="21.75" hidden="false" customHeight="true" outlineLevel="0" collapsed="false">
      <c r="A4" s="15" t="s">
        <v>49</v>
      </c>
      <c r="B4" s="15"/>
      <c r="C4" s="15"/>
      <c r="D4" s="15"/>
      <c r="E4" s="15"/>
      <c r="F4" s="15"/>
      <c r="G4" s="15"/>
    </row>
    <row r="5" customFormat="false" ht="27.75" hidden="false" customHeight="true" outlineLevel="0" collapsed="false">
      <c r="A5" s="4" t="s">
        <v>50</v>
      </c>
      <c r="B5" s="4" t="s">
        <v>51</v>
      </c>
      <c r="C5" s="4" t="s">
        <v>52</v>
      </c>
      <c r="D5" s="4" t="s">
        <v>53</v>
      </c>
      <c r="E5" s="4" t="s">
        <v>54</v>
      </c>
      <c r="F5" s="4" t="s">
        <v>55</v>
      </c>
      <c r="G5" s="4" t="s">
        <v>56</v>
      </c>
      <c r="H5" s="16" t="s">
        <v>57</v>
      </c>
      <c r="I5" s="16" t="s">
        <v>58</v>
      </c>
      <c r="J5" s="16" t="s">
        <v>59</v>
      </c>
      <c r="K5" s="16" t="s">
        <v>60</v>
      </c>
      <c r="L5" s="16" t="s">
        <v>61</v>
      </c>
      <c r="M5" s="16" t="s">
        <v>62</v>
      </c>
      <c r="N5" s="16" t="s">
        <v>63</v>
      </c>
      <c r="O5" s="16" t="s">
        <v>64</v>
      </c>
      <c r="P5" s="16" t="s">
        <v>28</v>
      </c>
      <c r="Q5" s="16" t="s">
        <v>65</v>
      </c>
    </row>
    <row r="6" customFormat="false" ht="19.5" hidden="false" customHeight="true" outlineLevel="0" collapsed="false">
      <c r="A6" s="5" t="s">
        <v>306</v>
      </c>
      <c r="B6" s="6" t="s">
        <v>307</v>
      </c>
      <c r="C6" s="5" t="s">
        <v>30</v>
      </c>
      <c r="D6" s="5" t="s">
        <v>308</v>
      </c>
      <c r="E6" s="5" t="s">
        <v>103</v>
      </c>
      <c r="F6" s="17"/>
      <c r="G6" s="6" t="s">
        <v>309</v>
      </c>
      <c r="H6" s="18" t="s">
        <v>73</v>
      </c>
      <c r="I6" s="18" t="s">
        <v>73</v>
      </c>
      <c r="J6" s="18" t="s">
        <v>73</v>
      </c>
      <c r="K6" s="18" t="s">
        <v>73</v>
      </c>
      <c r="L6" s="18" t="s">
        <v>73</v>
      </c>
      <c r="M6" s="18" t="s">
        <v>74</v>
      </c>
      <c r="N6" s="18" t="s">
        <v>74</v>
      </c>
      <c r="O6" s="18" t="s">
        <v>79</v>
      </c>
      <c r="P6" s="19"/>
      <c r="Q6" s="18" t="n">
        <v>1</v>
      </c>
    </row>
    <row r="7" customFormat="false" ht="19.5" hidden="false" customHeight="true" outlineLevel="0" collapsed="false">
      <c r="A7" s="20" t="s">
        <v>310</v>
      </c>
      <c r="B7" s="21" t="s">
        <v>311</v>
      </c>
      <c r="C7" s="20" t="s">
        <v>30</v>
      </c>
      <c r="D7" s="20" t="s">
        <v>203</v>
      </c>
      <c r="E7" s="20" t="s">
        <v>103</v>
      </c>
      <c r="F7" s="22"/>
      <c r="G7" s="21" t="s">
        <v>312</v>
      </c>
      <c r="H7" s="18" t="s">
        <v>73</v>
      </c>
      <c r="I7" s="18" t="s">
        <v>73</v>
      </c>
      <c r="J7" s="18" t="s">
        <v>73</v>
      </c>
      <c r="K7" s="18" t="s">
        <v>73</v>
      </c>
      <c r="L7" s="18" t="s">
        <v>73</v>
      </c>
      <c r="M7" s="18" t="s">
        <v>96</v>
      </c>
      <c r="N7" s="18" t="s">
        <v>74</v>
      </c>
      <c r="O7" s="18" t="s">
        <v>79</v>
      </c>
      <c r="P7" s="19"/>
      <c r="Q7" s="18" t="n">
        <v>1</v>
      </c>
    </row>
    <row r="9" customFormat="false" ht="21.75" hidden="false" customHeight="true" outlineLevel="0" collapsed="false">
      <c r="A9" s="15" t="s">
        <v>89</v>
      </c>
      <c r="B9" s="15"/>
      <c r="C9" s="15"/>
      <c r="D9" s="15"/>
      <c r="E9" s="15"/>
      <c r="F9" s="15"/>
      <c r="G9" s="15"/>
    </row>
    <row r="10" customFormat="false" ht="27.75" hidden="false" customHeight="true" outlineLevel="0" collapsed="false">
      <c r="A10" s="4" t="s">
        <v>50</v>
      </c>
      <c r="B10" s="4" t="s">
        <v>51</v>
      </c>
      <c r="C10" s="4" t="s">
        <v>52</v>
      </c>
      <c r="D10" s="4" t="s">
        <v>53</v>
      </c>
      <c r="E10" s="4" t="s">
        <v>54</v>
      </c>
      <c r="F10" s="4" t="s">
        <v>55</v>
      </c>
      <c r="G10" s="4" t="s">
        <v>56</v>
      </c>
      <c r="H10" s="16" t="s">
        <v>57</v>
      </c>
      <c r="I10" s="16" t="s">
        <v>58</v>
      </c>
      <c r="J10" s="16" t="s">
        <v>59</v>
      </c>
      <c r="K10" s="16" t="s">
        <v>60</v>
      </c>
      <c r="L10" s="16" t="s">
        <v>61</v>
      </c>
      <c r="M10" s="16" t="s">
        <v>62</v>
      </c>
      <c r="N10" s="16" t="s">
        <v>63</v>
      </c>
      <c r="O10" s="16" t="s">
        <v>64</v>
      </c>
      <c r="P10" s="16" t="s">
        <v>28</v>
      </c>
      <c r="Q10" s="16" t="s">
        <v>65</v>
      </c>
    </row>
    <row r="11" customFormat="false" ht="19.5" hidden="false" customHeight="true" outlineLevel="0" collapsed="false">
      <c r="A11" s="5" t="s">
        <v>313</v>
      </c>
      <c r="B11" s="6" t="s">
        <v>314</v>
      </c>
      <c r="C11" s="5" t="s">
        <v>33</v>
      </c>
      <c r="D11" s="5" t="s">
        <v>315</v>
      </c>
      <c r="E11" s="5" t="s">
        <v>103</v>
      </c>
      <c r="F11" s="17"/>
      <c r="G11" s="6" t="s">
        <v>316</v>
      </c>
      <c r="H11" s="18" t="s">
        <v>73</v>
      </c>
      <c r="I11" s="18" t="s">
        <v>317</v>
      </c>
      <c r="J11" s="18" t="s">
        <v>73</v>
      </c>
      <c r="K11" s="18" t="s">
        <v>73</v>
      </c>
      <c r="L11" s="18" t="s">
        <v>73</v>
      </c>
      <c r="M11" s="18" t="s">
        <v>74</v>
      </c>
      <c r="N11" s="18" t="s">
        <v>74</v>
      </c>
      <c r="O11" s="18" t="s">
        <v>75</v>
      </c>
      <c r="P11" s="19"/>
      <c r="Q11" s="18" t="n">
        <v>1</v>
      </c>
    </row>
    <row r="12" customFormat="false" ht="19.5" hidden="false" customHeight="true" outlineLevel="0" collapsed="false">
      <c r="A12" s="20" t="s">
        <v>318</v>
      </c>
      <c r="B12" s="21" t="s">
        <v>319</v>
      </c>
      <c r="C12" s="20" t="s">
        <v>33</v>
      </c>
      <c r="D12" s="20" t="s">
        <v>320</v>
      </c>
      <c r="E12" s="20" t="s">
        <v>103</v>
      </c>
      <c r="F12" s="22"/>
      <c r="G12" s="21" t="s">
        <v>321</v>
      </c>
      <c r="H12" s="18" t="s">
        <v>73</v>
      </c>
      <c r="I12" s="18" t="s">
        <v>317</v>
      </c>
      <c r="J12" s="18" t="s">
        <v>73</v>
      </c>
      <c r="K12" s="18" t="s">
        <v>73</v>
      </c>
      <c r="L12" s="18" t="s">
        <v>73</v>
      </c>
      <c r="M12" s="18" t="s">
        <v>74</v>
      </c>
      <c r="N12" s="18" t="s">
        <v>74</v>
      </c>
      <c r="O12" s="18" t="s">
        <v>75</v>
      </c>
      <c r="P12" s="19"/>
      <c r="Q12" s="18" t="n">
        <v>1</v>
      </c>
    </row>
    <row r="13" customFormat="false" ht="19.5" hidden="false" customHeight="true" outlineLevel="0" collapsed="false">
      <c r="A13" s="5" t="s">
        <v>322</v>
      </c>
      <c r="B13" s="6" t="s">
        <v>323</v>
      </c>
      <c r="C13" s="5" t="s">
        <v>33</v>
      </c>
      <c r="D13" s="5" t="s">
        <v>324</v>
      </c>
      <c r="E13" s="5" t="s">
        <v>103</v>
      </c>
      <c r="F13" s="17"/>
      <c r="G13" s="6" t="s">
        <v>325</v>
      </c>
      <c r="H13" s="18" t="s">
        <v>73</v>
      </c>
      <c r="I13" s="18" t="s">
        <v>73</v>
      </c>
      <c r="J13" s="18" t="s">
        <v>73</v>
      </c>
      <c r="K13" s="18" t="s">
        <v>73</v>
      </c>
      <c r="L13" s="18" t="s">
        <v>73</v>
      </c>
      <c r="M13" s="18" t="s">
        <v>96</v>
      </c>
      <c r="N13" s="18" t="s">
        <v>74</v>
      </c>
      <c r="O13" s="18" t="s">
        <v>75</v>
      </c>
      <c r="P13" s="19"/>
      <c r="Q13" s="18" t="n">
        <v>1</v>
      </c>
    </row>
    <row r="15" customFormat="false" ht="21.75" hidden="false" customHeight="true" outlineLevel="0" collapsed="false">
      <c r="A15" s="15" t="s">
        <v>100</v>
      </c>
      <c r="B15" s="15"/>
      <c r="C15" s="15"/>
      <c r="D15" s="15"/>
      <c r="E15" s="15"/>
      <c r="F15" s="15"/>
      <c r="G15" s="15"/>
    </row>
    <row r="16" customFormat="false" ht="27.75" hidden="false" customHeight="true" outlineLevel="0" collapsed="false">
      <c r="A16" s="4" t="s">
        <v>50</v>
      </c>
      <c r="B16" s="4" t="s">
        <v>51</v>
      </c>
      <c r="C16" s="4" t="s">
        <v>52</v>
      </c>
      <c r="D16" s="4" t="s">
        <v>53</v>
      </c>
      <c r="E16" s="4" t="s">
        <v>54</v>
      </c>
      <c r="F16" s="4" t="s">
        <v>55</v>
      </c>
      <c r="G16" s="4" t="s">
        <v>56</v>
      </c>
      <c r="H16" s="16" t="s">
        <v>57</v>
      </c>
      <c r="I16" s="16" t="s">
        <v>58</v>
      </c>
      <c r="J16" s="16" t="s">
        <v>59</v>
      </c>
      <c r="K16" s="16" t="s">
        <v>60</v>
      </c>
      <c r="L16" s="16" t="s">
        <v>61</v>
      </c>
      <c r="M16" s="16" t="s">
        <v>62</v>
      </c>
      <c r="N16" s="16" t="s">
        <v>63</v>
      </c>
      <c r="O16" s="16" t="s">
        <v>64</v>
      </c>
      <c r="P16" s="16" t="s">
        <v>28</v>
      </c>
      <c r="Q16" s="16" t="s">
        <v>65</v>
      </c>
    </row>
    <row r="17" customFormat="false" ht="19.5" hidden="false" customHeight="true" outlineLevel="0" collapsed="false">
      <c r="A17" s="5" t="s">
        <v>326</v>
      </c>
      <c r="B17" s="6" t="s">
        <v>327</v>
      </c>
      <c r="C17" s="5" t="s">
        <v>36</v>
      </c>
      <c r="D17" s="5" t="s">
        <v>324</v>
      </c>
      <c r="E17" s="5" t="s">
        <v>103</v>
      </c>
      <c r="F17" s="17"/>
      <c r="G17" s="6" t="s">
        <v>328</v>
      </c>
      <c r="H17" s="18" t="s">
        <v>73</v>
      </c>
      <c r="I17" s="18" t="s">
        <v>73</v>
      </c>
      <c r="J17" s="18" t="s">
        <v>73</v>
      </c>
      <c r="K17" s="18" t="s">
        <v>73</v>
      </c>
      <c r="L17" s="18" t="s">
        <v>73</v>
      </c>
      <c r="M17" s="18" t="s">
        <v>96</v>
      </c>
      <c r="N17" s="18" t="s">
        <v>74</v>
      </c>
      <c r="O17" s="18" t="s">
        <v>75</v>
      </c>
      <c r="P17" s="19"/>
      <c r="Q17" s="18" t="n">
        <v>1</v>
      </c>
    </row>
    <row r="19" customFormat="false" ht="21.75" hidden="false" customHeight="true" outlineLevel="0" collapsed="false">
      <c r="A19" s="15" t="s">
        <v>117</v>
      </c>
      <c r="B19" s="15"/>
      <c r="C19" s="15"/>
      <c r="D19" s="15"/>
      <c r="E19" s="15"/>
      <c r="F19" s="15"/>
      <c r="G19" s="15"/>
    </row>
    <row r="20" customFormat="false" ht="27.75" hidden="false" customHeight="true" outlineLevel="0" collapsed="false">
      <c r="A20" s="4" t="s">
        <v>50</v>
      </c>
      <c r="B20" s="4" t="s">
        <v>51</v>
      </c>
      <c r="C20" s="4" t="s">
        <v>52</v>
      </c>
      <c r="D20" s="4" t="s">
        <v>53</v>
      </c>
      <c r="E20" s="4" t="s">
        <v>54</v>
      </c>
      <c r="F20" s="4" t="s">
        <v>55</v>
      </c>
      <c r="G20" s="4" t="s">
        <v>56</v>
      </c>
      <c r="H20" s="16" t="s">
        <v>57</v>
      </c>
      <c r="I20" s="16" t="s">
        <v>58</v>
      </c>
      <c r="J20" s="16" t="s">
        <v>59</v>
      </c>
      <c r="K20" s="16" t="s">
        <v>60</v>
      </c>
      <c r="L20" s="16" t="s">
        <v>61</v>
      </c>
      <c r="M20" s="16" t="s">
        <v>62</v>
      </c>
      <c r="N20" s="16" t="s">
        <v>63</v>
      </c>
      <c r="O20" s="16" t="s">
        <v>64</v>
      </c>
      <c r="P20" s="16" t="s">
        <v>28</v>
      </c>
      <c r="Q20" s="16" t="s">
        <v>65</v>
      </c>
    </row>
    <row r="21" customFormat="false" ht="19.5" hidden="false" customHeight="true" outlineLevel="0" collapsed="false">
      <c r="A21" s="5" t="s">
        <v>329</v>
      </c>
      <c r="B21" s="6" t="s">
        <v>330</v>
      </c>
      <c r="C21" s="5" t="s">
        <v>39</v>
      </c>
      <c r="D21" s="5" t="s">
        <v>331</v>
      </c>
      <c r="E21" s="5" t="s">
        <v>103</v>
      </c>
      <c r="F21" s="17"/>
      <c r="G21" s="6" t="s">
        <v>332</v>
      </c>
      <c r="H21" s="18" t="s">
        <v>73</v>
      </c>
      <c r="I21" s="18" t="s">
        <v>73</v>
      </c>
      <c r="J21" s="18" t="s">
        <v>73</v>
      </c>
      <c r="K21" s="18" t="s">
        <v>73</v>
      </c>
      <c r="L21" s="18" t="s">
        <v>73</v>
      </c>
      <c r="M21" s="18" t="s">
        <v>74</v>
      </c>
      <c r="N21" s="18" t="s">
        <v>74</v>
      </c>
      <c r="O21" s="18" t="s">
        <v>79</v>
      </c>
      <c r="P21" s="19"/>
      <c r="Q21" s="18" t="n">
        <v>1</v>
      </c>
    </row>
    <row r="22" customFormat="false" ht="19.5" hidden="false" customHeight="true" outlineLevel="0" collapsed="false">
      <c r="A22" s="20" t="s">
        <v>333</v>
      </c>
      <c r="B22" s="21" t="s">
        <v>334</v>
      </c>
      <c r="C22" s="20" t="s">
        <v>39</v>
      </c>
      <c r="D22" s="20" t="s">
        <v>335</v>
      </c>
      <c r="E22" s="20" t="s">
        <v>103</v>
      </c>
      <c r="F22" s="31"/>
      <c r="G22" s="21" t="s">
        <v>336</v>
      </c>
      <c r="H22" s="18" t="s">
        <v>73</v>
      </c>
      <c r="I22" s="18" t="s">
        <v>73</v>
      </c>
      <c r="J22" s="18" t="s">
        <v>73</v>
      </c>
      <c r="K22" s="18" t="s">
        <v>73</v>
      </c>
      <c r="L22" s="18" t="s">
        <v>73</v>
      </c>
      <c r="M22" s="18" t="s">
        <v>96</v>
      </c>
      <c r="N22" s="18" t="s">
        <v>96</v>
      </c>
      <c r="O22" s="18" t="s">
        <v>75</v>
      </c>
      <c r="P22" s="19"/>
      <c r="Q22" s="18" t="n">
        <v>1</v>
      </c>
    </row>
    <row r="24" customFormat="false" ht="21.75" hidden="false" customHeight="true" outlineLevel="0" collapsed="false">
      <c r="A24" s="15" t="s">
        <v>142</v>
      </c>
      <c r="B24" s="15"/>
      <c r="C24" s="15"/>
      <c r="D24" s="15"/>
      <c r="E24" s="15"/>
      <c r="F24" s="15"/>
      <c r="G24" s="15"/>
    </row>
    <row r="25" customFormat="false" ht="27.75" hidden="false" customHeight="true" outlineLevel="0" collapsed="false">
      <c r="A25" s="4" t="s">
        <v>50</v>
      </c>
      <c r="B25" s="4" t="s">
        <v>51</v>
      </c>
      <c r="C25" s="4" t="s">
        <v>52</v>
      </c>
      <c r="D25" s="4" t="s">
        <v>53</v>
      </c>
      <c r="E25" s="4" t="s">
        <v>54</v>
      </c>
      <c r="F25" s="4" t="s">
        <v>55</v>
      </c>
      <c r="G25" s="4" t="s">
        <v>56</v>
      </c>
      <c r="H25" s="16" t="s">
        <v>57</v>
      </c>
      <c r="I25" s="16" t="s">
        <v>58</v>
      </c>
      <c r="J25" s="16" t="s">
        <v>59</v>
      </c>
      <c r="K25" s="16" t="s">
        <v>60</v>
      </c>
      <c r="L25" s="16" t="s">
        <v>61</v>
      </c>
      <c r="M25" s="16" t="s">
        <v>62</v>
      </c>
      <c r="N25" s="16" t="s">
        <v>63</v>
      </c>
      <c r="O25" s="16" t="s">
        <v>64</v>
      </c>
      <c r="P25" s="16" t="s">
        <v>28</v>
      </c>
      <c r="Q25" s="16" t="s">
        <v>65</v>
      </c>
    </row>
    <row r="26" customFormat="false" ht="19.5" hidden="false" customHeight="true" outlineLevel="0" collapsed="false">
      <c r="A26" s="5" t="s">
        <v>337</v>
      </c>
      <c r="B26" s="6" t="s">
        <v>338</v>
      </c>
      <c r="C26" s="5" t="s">
        <v>41</v>
      </c>
      <c r="D26" s="5" t="s">
        <v>339</v>
      </c>
      <c r="E26" s="5" t="s">
        <v>103</v>
      </c>
      <c r="F26" s="17"/>
      <c r="G26" s="6" t="s">
        <v>340</v>
      </c>
      <c r="H26" s="18" t="s">
        <v>73</v>
      </c>
      <c r="I26" s="18" t="s">
        <v>73</v>
      </c>
      <c r="J26" s="18" t="s">
        <v>73</v>
      </c>
      <c r="K26" s="18" t="s">
        <v>73</v>
      </c>
      <c r="L26" s="18" t="s">
        <v>73</v>
      </c>
      <c r="M26" s="18" t="s">
        <v>74</v>
      </c>
      <c r="N26" s="18" t="s">
        <v>74</v>
      </c>
      <c r="O26" s="18" t="s">
        <v>75</v>
      </c>
      <c r="P26" s="19"/>
      <c r="Q26" s="18" t="n">
        <v>1</v>
      </c>
    </row>
    <row r="27" customFormat="false" ht="19.5" hidden="false" customHeight="true" outlineLevel="0" collapsed="false">
      <c r="A27" s="20" t="s">
        <v>341</v>
      </c>
      <c r="B27" s="21" t="s">
        <v>342</v>
      </c>
      <c r="C27" s="20" t="s">
        <v>41</v>
      </c>
      <c r="D27" s="20" t="s">
        <v>115</v>
      </c>
      <c r="E27" s="20" t="s">
        <v>103</v>
      </c>
      <c r="F27" s="22"/>
      <c r="G27" s="21" t="s">
        <v>343</v>
      </c>
      <c r="H27" s="18" t="s">
        <v>73</v>
      </c>
      <c r="I27" s="18" t="s">
        <v>73</v>
      </c>
      <c r="J27" s="18" t="s">
        <v>73</v>
      </c>
      <c r="K27" s="18" t="s">
        <v>73</v>
      </c>
      <c r="L27" s="18" t="s">
        <v>73</v>
      </c>
      <c r="M27" s="18" t="s">
        <v>96</v>
      </c>
      <c r="N27" s="18" t="s">
        <v>74</v>
      </c>
      <c r="O27" s="18" t="s">
        <v>75</v>
      </c>
      <c r="P27" s="19"/>
      <c r="Q27" s="18" t="n">
        <v>1</v>
      </c>
    </row>
    <row r="29" customFormat="false" ht="21.75" hidden="false" customHeight="true" outlineLevel="0" collapsed="false">
      <c r="A29" s="15" t="s">
        <v>155</v>
      </c>
      <c r="B29" s="15"/>
      <c r="C29" s="15"/>
      <c r="D29" s="15"/>
      <c r="E29" s="15"/>
      <c r="F29" s="15"/>
      <c r="G29" s="15"/>
    </row>
    <row r="30" customFormat="false" ht="27.75" hidden="false" customHeight="true" outlineLevel="0" collapsed="false">
      <c r="A30" s="4" t="s">
        <v>50</v>
      </c>
      <c r="B30" s="4" t="s">
        <v>51</v>
      </c>
      <c r="C30" s="4" t="s">
        <v>52</v>
      </c>
      <c r="D30" s="4" t="s">
        <v>53</v>
      </c>
      <c r="E30" s="4" t="s">
        <v>54</v>
      </c>
      <c r="F30" s="4" t="s">
        <v>55</v>
      </c>
      <c r="G30" s="4" t="s">
        <v>56</v>
      </c>
      <c r="H30" s="16" t="s">
        <v>57</v>
      </c>
      <c r="I30" s="16" t="s">
        <v>58</v>
      </c>
      <c r="J30" s="16" t="s">
        <v>59</v>
      </c>
      <c r="K30" s="16" t="s">
        <v>60</v>
      </c>
      <c r="L30" s="16" t="s">
        <v>61</v>
      </c>
      <c r="M30" s="16" t="s">
        <v>62</v>
      </c>
      <c r="N30" s="16" t="s">
        <v>63</v>
      </c>
      <c r="O30" s="16" t="s">
        <v>64</v>
      </c>
      <c r="P30" s="16" t="s">
        <v>28</v>
      </c>
      <c r="Q30" s="16" t="s">
        <v>65</v>
      </c>
    </row>
    <row r="31" customFormat="false" ht="19.5" hidden="false" customHeight="true" outlineLevel="0" collapsed="false">
      <c r="A31" s="5" t="s">
        <v>344</v>
      </c>
      <c r="B31" s="6" t="s">
        <v>345</v>
      </c>
      <c r="C31" s="5" t="s">
        <v>43</v>
      </c>
      <c r="D31" s="5" t="s">
        <v>335</v>
      </c>
      <c r="E31" s="5" t="s">
        <v>103</v>
      </c>
      <c r="F31" s="23"/>
      <c r="G31" s="6" t="s">
        <v>346</v>
      </c>
      <c r="H31" s="18" t="s">
        <v>73</v>
      </c>
      <c r="I31" s="18" t="s">
        <v>73</v>
      </c>
      <c r="J31" s="18" t="s">
        <v>73</v>
      </c>
      <c r="K31" s="18" t="s">
        <v>73</v>
      </c>
      <c r="L31" s="18" t="s">
        <v>73</v>
      </c>
      <c r="M31" s="18" t="s">
        <v>96</v>
      </c>
      <c r="N31" s="18" t="s">
        <v>74</v>
      </c>
      <c r="O31" s="18" t="s">
        <v>75</v>
      </c>
      <c r="P31" s="19"/>
      <c r="Q31" s="18" t="n">
        <v>1</v>
      </c>
    </row>
  </sheetData>
  <mergeCells count="8">
    <mergeCell ref="A1:G1"/>
    <mergeCell ref="A2:G2"/>
    <mergeCell ref="A4:G4"/>
    <mergeCell ref="A9:G9"/>
    <mergeCell ref="A15:G15"/>
    <mergeCell ref="A19:G19"/>
    <mergeCell ref="A24:G24"/>
    <mergeCell ref="A29:G29"/>
  </mergeCells>
  <dataValidations count="6">
    <dataValidation allowBlank="true" errorStyle="stop" operator="between" showDropDown="false" showErrorMessage="false" showInputMessage="false" sqref="H5:H181" type="list">
      <formula1>"ALL,Import,Export"</formula1>
      <formula2>0</formula2>
    </dataValidation>
    <dataValidation allowBlank="true" errorStyle="stop" operator="between" showDropDown="false" showErrorMessage="false" showInputMessage="false" sqref="I5:I181" type="list">
      <formula1>"ALL,FCL,LCL,FTL,LTL"</formula1>
      <formula2>0</formula2>
    </dataValidation>
    <dataValidation allowBlank="true" errorStyle="stop" operator="between" showDropDown="false" showErrorMessage="false" showInputMessage="false" sqref="J5:J181" type="list">
      <formula1>"ALL,Palletized,Loose,Mixed"</formula1>
      <formula2>0</formula2>
    </dataValidation>
    <dataValidation allowBlank="true" errorStyle="stop" operator="between" showDropDown="false" showErrorMessage="false" showInputMessage="false" sqref="K5:K181" type="list">
      <formula1>"ALL,General,Refrigerated,OOG,Dangerous,Other"</formula1>
      <formula2>0</formula2>
    </dataValidation>
    <dataValidation allowBlank="true" errorStyle="stop" operator="between" showDropDown="false" showErrorMessage="false" showInputMessage="false" sqref="M5:N181" type="list">
      <formula1>"Y,N"</formula1>
      <formula2>0</formula2>
    </dataValidation>
    <dataValidation allowBlank="true" errorStyle="stop" operator="between" showDropDown="false" showErrorMessage="false" showInputMessage="false" sqref="O5:O181" type="list">
      <formula1>"Auto,Editable"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C15" activeCellId="0" sqref="C15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67"/>
    <col collapsed="false" customWidth="true" hidden="false" outlineLevel="0" max="2" min="2" style="0" width="31"/>
    <col collapsed="false" customWidth="true" hidden="false" outlineLevel="0" max="3" min="3" style="0" width="36"/>
    <col collapsed="false" customWidth="true" hidden="false" outlineLevel="0" max="4" min="4" style="0" width="16"/>
    <col collapsed="false" customWidth="true" hidden="false" outlineLevel="0" max="5" min="5" style="0" width="25"/>
    <col collapsed="false" customWidth="true" hidden="false" outlineLevel="0" max="6" min="6" style="0" width="45"/>
    <col collapsed="false" customWidth="true" hidden="false" outlineLevel="0" max="7" min="7" style="0" width="21"/>
    <col collapsed="false" customWidth="true" hidden="false" outlineLevel="0" max="8" min="8" style="0" width="22"/>
    <col collapsed="false" customWidth="true" hidden="false" outlineLevel="0" max="9" min="9" style="0" width="23"/>
  </cols>
  <sheetData>
    <row r="1" customFormat="false" ht="30" hidden="false" customHeight="true" outlineLevel="0" collapsed="false">
      <c r="A1" s="1" t="s">
        <v>347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14" t="s">
        <v>348</v>
      </c>
      <c r="B2" s="14"/>
      <c r="C2" s="14"/>
      <c r="D2" s="14"/>
      <c r="E2" s="14"/>
      <c r="F2" s="14"/>
      <c r="G2" s="14"/>
      <c r="H2" s="14"/>
      <c r="I2" s="14"/>
    </row>
    <row r="4" customFormat="false" ht="15" hidden="false" customHeight="false" outlineLevel="0" collapsed="false">
      <c r="A4" s="33" t="s">
        <v>349</v>
      </c>
      <c r="B4" s="33"/>
      <c r="C4" s="33"/>
      <c r="D4" s="33"/>
      <c r="E4" s="33"/>
      <c r="F4" s="33"/>
      <c r="G4" s="33"/>
      <c r="H4" s="33"/>
      <c r="I4" s="33"/>
    </row>
    <row r="5" customFormat="false" ht="27.75" hidden="false" customHeight="true" outlineLevel="0" collapsed="false">
      <c r="A5" s="4" t="s">
        <v>350</v>
      </c>
      <c r="B5" s="4" t="s">
        <v>351</v>
      </c>
      <c r="C5" s="4" t="s">
        <v>352</v>
      </c>
      <c r="D5" s="4" t="s">
        <v>353</v>
      </c>
      <c r="E5" s="4" t="s">
        <v>354</v>
      </c>
      <c r="F5" s="4" t="s">
        <v>355</v>
      </c>
      <c r="G5" s="4" t="s">
        <v>356</v>
      </c>
      <c r="H5" s="4" t="s">
        <v>357</v>
      </c>
      <c r="I5" s="4" t="s">
        <v>358</v>
      </c>
    </row>
    <row r="6" customFormat="false" ht="19.5" hidden="false" customHeight="true" outlineLevel="0" collapsed="false">
      <c r="A6" s="6" t="s">
        <v>359</v>
      </c>
      <c r="B6" s="34" t="n">
        <v>3</v>
      </c>
      <c r="C6" s="6" t="s">
        <v>360</v>
      </c>
      <c r="D6" s="34" t="n">
        <v>18.5</v>
      </c>
      <c r="E6" s="5" t="s">
        <v>361</v>
      </c>
      <c r="F6" s="6" t="s">
        <v>362</v>
      </c>
      <c r="G6" s="5" t="s">
        <v>363</v>
      </c>
      <c r="H6" s="5" t="s">
        <v>364</v>
      </c>
      <c r="I6" s="34" t="n">
        <v>50</v>
      </c>
    </row>
    <row r="7" customFormat="false" ht="19.5" hidden="false" customHeight="true" outlineLevel="0" collapsed="false">
      <c r="A7" s="6" t="s">
        <v>365</v>
      </c>
      <c r="B7" s="34" t="n">
        <v>7</v>
      </c>
      <c r="C7" s="6" t="s">
        <v>366</v>
      </c>
      <c r="D7" s="34" t="n">
        <v>31.7</v>
      </c>
      <c r="E7" s="5" t="s">
        <v>367</v>
      </c>
      <c r="F7" s="6" t="s">
        <v>368</v>
      </c>
      <c r="G7" s="5" t="s">
        <v>363</v>
      </c>
      <c r="H7" s="5" t="s">
        <v>364</v>
      </c>
      <c r="I7" s="34" t="n">
        <v>75</v>
      </c>
    </row>
    <row r="8" customFormat="false" ht="19.5" hidden="false" customHeight="true" outlineLevel="0" collapsed="false">
      <c r="A8" s="6" t="s">
        <v>369</v>
      </c>
      <c r="B8" s="34" t="n">
        <v>10</v>
      </c>
      <c r="C8" s="6" t="s">
        <v>370</v>
      </c>
      <c r="D8" s="34" t="n">
        <v>41.4</v>
      </c>
      <c r="E8" s="5" t="s">
        <v>371</v>
      </c>
      <c r="F8" s="6" t="s">
        <v>372</v>
      </c>
      <c r="G8" s="5" t="s">
        <v>373</v>
      </c>
      <c r="H8" s="5" t="s">
        <v>364</v>
      </c>
      <c r="I8" s="34" t="n">
        <v>100</v>
      </c>
    </row>
    <row r="9" customFormat="false" ht="19.5" hidden="false" customHeight="true" outlineLevel="0" collapsed="false">
      <c r="A9" s="6" t="s">
        <v>374</v>
      </c>
      <c r="B9" s="34" t="n">
        <v>25</v>
      </c>
      <c r="C9" s="6" t="s">
        <v>375</v>
      </c>
      <c r="D9" s="34" t="n">
        <v>44</v>
      </c>
      <c r="E9" s="5" t="s">
        <v>376</v>
      </c>
      <c r="F9" s="6" t="s">
        <v>377</v>
      </c>
      <c r="G9" s="5" t="s">
        <v>378</v>
      </c>
      <c r="H9" s="5" t="s">
        <v>364</v>
      </c>
      <c r="I9" s="34" t="n">
        <v>150</v>
      </c>
    </row>
    <row r="10" customFormat="false" ht="19.5" hidden="false" customHeight="true" outlineLevel="0" collapsed="false">
      <c r="A10" s="6" t="s">
        <v>379</v>
      </c>
      <c r="B10" s="34" t="n">
        <v>26</v>
      </c>
      <c r="C10" s="6" t="s">
        <v>380</v>
      </c>
      <c r="D10" s="34" t="n">
        <v>86</v>
      </c>
      <c r="E10" s="5" t="s">
        <v>381</v>
      </c>
      <c r="F10" s="6" t="s">
        <v>382</v>
      </c>
      <c r="G10" s="5" t="s">
        <v>378</v>
      </c>
      <c r="H10" s="5" t="s">
        <v>364</v>
      </c>
      <c r="I10" s="34" t="n">
        <v>150</v>
      </c>
    </row>
    <row r="11" customFormat="false" ht="19.5" hidden="false" customHeight="true" outlineLevel="0" collapsed="false">
      <c r="A11" s="6" t="s">
        <v>383</v>
      </c>
      <c r="B11" s="34" t="n">
        <v>22</v>
      </c>
      <c r="C11" s="6" t="s">
        <v>384</v>
      </c>
      <c r="D11" s="34" t="n">
        <v>76</v>
      </c>
      <c r="E11" s="5" t="s">
        <v>385</v>
      </c>
      <c r="F11" s="6" t="s">
        <v>386</v>
      </c>
      <c r="G11" s="5" t="s">
        <v>387</v>
      </c>
      <c r="H11" s="5" t="s">
        <v>364</v>
      </c>
      <c r="I11" s="34" t="n">
        <v>180</v>
      </c>
    </row>
    <row r="13" customFormat="false" ht="15" hidden="false" customHeight="false" outlineLevel="0" collapsed="false">
      <c r="A13" s="33" t="s">
        <v>388</v>
      </c>
      <c r="B13" s="33"/>
      <c r="C13" s="33"/>
      <c r="D13" s="33"/>
      <c r="E13" s="33"/>
      <c r="F13" s="33"/>
      <c r="G13" s="33"/>
      <c r="H13" s="33"/>
      <c r="I13" s="33"/>
    </row>
    <row r="14" customFormat="false" ht="27.75" hidden="false" customHeight="true" outlineLevel="0" collapsed="false">
      <c r="A14" s="4" t="s">
        <v>389</v>
      </c>
      <c r="B14" s="4" t="s">
        <v>390</v>
      </c>
      <c r="C14" s="4" t="s">
        <v>391</v>
      </c>
      <c r="D14" s="4" t="s">
        <v>392</v>
      </c>
      <c r="E14" s="4" t="s">
        <v>393</v>
      </c>
      <c r="F14" s="4" t="s">
        <v>394</v>
      </c>
      <c r="G14" s="4" t="s">
        <v>395</v>
      </c>
      <c r="H14" s="4" t="s">
        <v>396</v>
      </c>
      <c r="I14" s="4" t="s">
        <v>397</v>
      </c>
    </row>
    <row r="15" customFormat="false" ht="19.5" hidden="false" customHeight="true" outlineLevel="0" collapsed="false">
      <c r="A15" s="5" t="s">
        <v>398</v>
      </c>
      <c r="B15" s="5" t="s">
        <v>399</v>
      </c>
      <c r="C15" s="34"/>
      <c r="D15" s="34"/>
      <c r="E15" s="34"/>
      <c r="F15" s="34"/>
      <c r="G15" s="34"/>
      <c r="H15" s="34"/>
      <c r="I15" s="5" t="s">
        <v>400</v>
      </c>
    </row>
    <row r="16" customFormat="false" ht="19.5" hidden="false" customHeight="true" outlineLevel="0" collapsed="false">
      <c r="A16" s="5" t="s">
        <v>398</v>
      </c>
      <c r="B16" s="5" t="s">
        <v>401</v>
      </c>
      <c r="C16" s="34"/>
      <c r="D16" s="34"/>
      <c r="E16" s="34"/>
      <c r="F16" s="34"/>
      <c r="G16" s="34"/>
      <c r="H16" s="34"/>
      <c r="I16" s="5" t="s">
        <v>402</v>
      </c>
    </row>
    <row r="17" customFormat="false" ht="19.5" hidden="false" customHeight="true" outlineLevel="0" collapsed="false">
      <c r="A17" s="5" t="s">
        <v>398</v>
      </c>
      <c r="B17" s="5" t="s">
        <v>403</v>
      </c>
      <c r="C17" s="34"/>
      <c r="D17" s="34"/>
      <c r="E17" s="34"/>
      <c r="F17" s="34"/>
      <c r="G17" s="34"/>
      <c r="H17" s="34"/>
      <c r="I17" s="5" t="s">
        <v>404</v>
      </c>
    </row>
    <row r="18" customFormat="false" ht="19.5" hidden="false" customHeight="true" outlineLevel="0" collapsed="false">
      <c r="A18" s="5" t="s">
        <v>398</v>
      </c>
      <c r="B18" s="5" t="s">
        <v>405</v>
      </c>
      <c r="C18" s="34"/>
      <c r="D18" s="34"/>
      <c r="E18" s="34"/>
      <c r="F18" s="34"/>
      <c r="G18" s="34"/>
      <c r="H18" s="34"/>
      <c r="I18" s="5" t="s">
        <v>406</v>
      </c>
    </row>
    <row r="19" customFormat="false" ht="19.5" hidden="false" customHeight="true" outlineLevel="0" collapsed="false">
      <c r="A19" s="5" t="s">
        <v>407</v>
      </c>
      <c r="B19" s="5" t="s">
        <v>408</v>
      </c>
      <c r="C19" s="34"/>
      <c r="D19" s="34"/>
      <c r="E19" s="34"/>
      <c r="F19" s="34"/>
      <c r="G19" s="34"/>
      <c r="H19" s="34"/>
      <c r="I19" s="5" t="s">
        <v>402</v>
      </c>
    </row>
    <row r="20" customFormat="false" ht="19.5" hidden="false" customHeight="true" outlineLevel="0" collapsed="false">
      <c r="A20" s="5" t="s">
        <v>409</v>
      </c>
      <c r="B20" s="5" t="s">
        <v>407</v>
      </c>
      <c r="C20" s="34"/>
      <c r="D20" s="34"/>
      <c r="E20" s="34"/>
      <c r="F20" s="34"/>
      <c r="G20" s="34"/>
      <c r="H20" s="34"/>
      <c r="I20" s="5" t="s">
        <v>406</v>
      </c>
    </row>
  </sheetData>
  <mergeCells count="4">
    <mergeCell ref="A1:I1"/>
    <mergeCell ref="A2:I2"/>
    <mergeCell ref="A4:I4"/>
    <mergeCell ref="A13:I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8" activeCellId="0" sqref="E28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53"/>
    <col collapsed="false" customWidth="true" hidden="false" outlineLevel="0" max="2" min="2" style="0" width="46"/>
    <col collapsed="false" customWidth="true" hidden="false" outlineLevel="0" max="3" min="3" style="0" width="24"/>
    <col collapsed="false" customWidth="true" hidden="false" outlineLevel="0" max="4" min="4" style="0" width="21"/>
    <col collapsed="false" customWidth="true" hidden="false" outlineLevel="0" max="5" min="5" style="0" width="24"/>
    <col collapsed="false" customWidth="true" hidden="false" outlineLevel="0" max="6" min="6" style="0" width="35"/>
    <col collapsed="false" customWidth="true" hidden="false" outlineLevel="0" max="7" min="7" style="0" width="38"/>
    <col collapsed="false" customWidth="true" hidden="false" outlineLevel="0" max="8" min="8" style="0" width="14"/>
    <col collapsed="false" customWidth="true" hidden="false" outlineLevel="0" max="10" min="9" style="0" width="11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3" min="13" style="0" width="11"/>
  </cols>
  <sheetData>
    <row r="1" customFormat="false" ht="30" hidden="false" customHeight="true" outlineLevel="0" collapsed="false">
      <c r="A1" s="1" t="s">
        <v>410</v>
      </c>
      <c r="B1" s="1"/>
      <c r="C1" s="1"/>
      <c r="D1" s="1"/>
      <c r="E1" s="1"/>
      <c r="F1" s="1"/>
      <c r="G1" s="1"/>
      <c r="I1" s="13" t="s">
        <v>411</v>
      </c>
    </row>
    <row r="2" customFormat="false" ht="19.5" hidden="false" customHeight="true" outlineLevel="0" collapsed="false">
      <c r="A2" s="14" t="s">
        <v>412</v>
      </c>
      <c r="B2" s="14"/>
      <c r="C2" s="14"/>
      <c r="D2" s="14"/>
      <c r="E2" s="14"/>
      <c r="F2" s="14"/>
      <c r="G2" s="14"/>
    </row>
    <row r="4" customFormat="false" ht="15" hidden="false" customHeight="false" outlineLevel="0" collapsed="false">
      <c r="A4" s="33" t="s">
        <v>413</v>
      </c>
      <c r="B4" s="33"/>
      <c r="C4" s="33"/>
      <c r="D4" s="33"/>
      <c r="E4" s="33"/>
      <c r="F4" s="33"/>
      <c r="G4" s="33"/>
    </row>
    <row r="5" customFormat="false" ht="27.75" hidden="false" customHeight="true" outlineLevel="0" collapsed="false">
      <c r="A5" s="4" t="s">
        <v>414</v>
      </c>
      <c r="B5" s="4" t="s">
        <v>415</v>
      </c>
      <c r="C5" s="4" t="s">
        <v>416</v>
      </c>
      <c r="D5" s="4" t="s">
        <v>417</v>
      </c>
      <c r="E5" s="4" t="s">
        <v>418</v>
      </c>
      <c r="F5" s="4" t="s">
        <v>419</v>
      </c>
      <c r="G5" s="4" t="s">
        <v>420</v>
      </c>
      <c r="H5" s="16" t="s">
        <v>60</v>
      </c>
      <c r="I5" s="16" t="s">
        <v>62</v>
      </c>
      <c r="J5" s="16" t="s">
        <v>63</v>
      </c>
      <c r="K5" s="16" t="s">
        <v>64</v>
      </c>
      <c r="L5" s="16" t="s">
        <v>28</v>
      </c>
      <c r="M5" s="16" t="s">
        <v>65</v>
      </c>
    </row>
    <row r="6" customFormat="false" ht="19.5" hidden="false" customHeight="true" outlineLevel="0" collapsed="false">
      <c r="A6" s="5" t="s">
        <v>421</v>
      </c>
      <c r="B6" s="6" t="s">
        <v>422</v>
      </c>
      <c r="C6" s="5" t="s">
        <v>423</v>
      </c>
      <c r="D6" s="5" t="s">
        <v>424</v>
      </c>
      <c r="E6" s="17"/>
      <c r="F6" s="5" t="s">
        <v>425</v>
      </c>
      <c r="G6" s="6" t="s">
        <v>426</v>
      </c>
      <c r="H6" s="18" t="s">
        <v>427</v>
      </c>
      <c r="I6" s="18" t="s">
        <v>74</v>
      </c>
      <c r="J6" s="18" t="s">
        <v>74</v>
      </c>
      <c r="K6" s="18" t="s">
        <v>75</v>
      </c>
      <c r="L6" s="19"/>
      <c r="M6" s="18" t="n">
        <v>1</v>
      </c>
    </row>
    <row r="7" customFormat="false" ht="19.5" hidden="false" customHeight="true" outlineLevel="0" collapsed="false">
      <c r="A7" s="20" t="s">
        <v>421</v>
      </c>
      <c r="B7" s="21" t="s">
        <v>428</v>
      </c>
      <c r="C7" s="20" t="s">
        <v>429</v>
      </c>
      <c r="D7" s="20" t="s">
        <v>430</v>
      </c>
      <c r="E7" s="22"/>
      <c r="F7" s="20" t="s">
        <v>425</v>
      </c>
      <c r="G7" s="21" t="s">
        <v>431</v>
      </c>
      <c r="H7" s="18" t="s">
        <v>427</v>
      </c>
      <c r="I7" s="18" t="s">
        <v>74</v>
      </c>
      <c r="J7" s="18" t="s">
        <v>74</v>
      </c>
      <c r="K7" s="18" t="s">
        <v>75</v>
      </c>
      <c r="L7" s="19"/>
      <c r="M7" s="18" t="n">
        <v>1</v>
      </c>
    </row>
    <row r="8" customFormat="false" ht="19.5" hidden="false" customHeight="true" outlineLevel="0" collapsed="false">
      <c r="A8" s="5" t="s">
        <v>421</v>
      </c>
      <c r="B8" s="6" t="s">
        <v>432</v>
      </c>
      <c r="C8" s="5" t="s">
        <v>433</v>
      </c>
      <c r="D8" s="5" t="s">
        <v>430</v>
      </c>
      <c r="E8" s="17"/>
      <c r="F8" s="5" t="s">
        <v>425</v>
      </c>
      <c r="G8" s="6" t="s">
        <v>434</v>
      </c>
      <c r="H8" s="18" t="s">
        <v>427</v>
      </c>
      <c r="I8" s="18" t="s">
        <v>74</v>
      </c>
      <c r="J8" s="18" t="s">
        <v>74</v>
      </c>
      <c r="K8" s="18" t="s">
        <v>75</v>
      </c>
      <c r="L8" s="19"/>
      <c r="M8" s="18" t="n">
        <v>1</v>
      </c>
    </row>
    <row r="10" customFormat="false" ht="15" hidden="false" customHeight="false" outlineLevel="0" collapsed="false">
      <c r="A10" s="33" t="s">
        <v>435</v>
      </c>
      <c r="B10" s="33"/>
      <c r="C10" s="33"/>
      <c r="D10" s="33"/>
      <c r="E10" s="33"/>
      <c r="F10" s="33"/>
      <c r="G10" s="33"/>
    </row>
    <row r="11" customFormat="false" ht="27.75" hidden="false" customHeight="true" outlineLevel="0" collapsed="false">
      <c r="A11" s="4" t="s">
        <v>414</v>
      </c>
      <c r="B11" s="4" t="s">
        <v>415</v>
      </c>
      <c r="C11" s="4" t="s">
        <v>416</v>
      </c>
      <c r="D11" s="4" t="s">
        <v>417</v>
      </c>
      <c r="E11" s="4" t="s">
        <v>418</v>
      </c>
      <c r="F11" s="4" t="s">
        <v>419</v>
      </c>
      <c r="G11" s="4" t="s">
        <v>420</v>
      </c>
      <c r="H11" s="16" t="s">
        <v>60</v>
      </c>
      <c r="I11" s="16" t="s">
        <v>62</v>
      </c>
      <c r="J11" s="16" t="s">
        <v>63</v>
      </c>
      <c r="K11" s="16" t="s">
        <v>64</v>
      </c>
      <c r="L11" s="16" t="s">
        <v>28</v>
      </c>
      <c r="M11" s="16" t="s">
        <v>65</v>
      </c>
    </row>
    <row r="12" customFormat="false" ht="19.5" hidden="false" customHeight="true" outlineLevel="0" collapsed="false">
      <c r="A12" s="5" t="s">
        <v>436</v>
      </c>
      <c r="B12" s="6" t="s">
        <v>437</v>
      </c>
      <c r="C12" s="5" t="s">
        <v>423</v>
      </c>
      <c r="D12" s="5" t="s">
        <v>438</v>
      </c>
      <c r="E12" s="17"/>
      <c r="F12" s="5" t="s">
        <v>439</v>
      </c>
      <c r="G12" s="6" t="s">
        <v>440</v>
      </c>
      <c r="H12" s="18" t="s">
        <v>135</v>
      </c>
      <c r="I12" s="18" t="s">
        <v>74</v>
      </c>
      <c r="J12" s="18" t="s">
        <v>74</v>
      </c>
      <c r="K12" s="18" t="s">
        <v>75</v>
      </c>
      <c r="L12" s="19"/>
      <c r="M12" s="18" t="n">
        <v>1</v>
      </c>
    </row>
    <row r="13" customFormat="false" ht="19.5" hidden="false" customHeight="true" outlineLevel="0" collapsed="false">
      <c r="A13" s="20" t="s">
        <v>436</v>
      </c>
      <c r="B13" s="21" t="s">
        <v>441</v>
      </c>
      <c r="C13" s="20" t="s">
        <v>429</v>
      </c>
      <c r="D13" s="20" t="s">
        <v>438</v>
      </c>
      <c r="E13" s="22"/>
      <c r="F13" s="20" t="s">
        <v>442</v>
      </c>
      <c r="G13" s="21" t="s">
        <v>443</v>
      </c>
      <c r="H13" s="18" t="s">
        <v>135</v>
      </c>
      <c r="I13" s="18" t="s">
        <v>74</v>
      </c>
      <c r="J13" s="18" t="s">
        <v>74</v>
      </c>
      <c r="K13" s="18" t="s">
        <v>75</v>
      </c>
      <c r="L13" s="19"/>
      <c r="M13" s="18" t="n">
        <v>1</v>
      </c>
    </row>
    <row r="15" customFormat="false" ht="15" hidden="false" customHeight="false" outlineLevel="0" collapsed="false">
      <c r="A15" s="33" t="s">
        <v>444</v>
      </c>
      <c r="B15" s="33"/>
      <c r="C15" s="33"/>
      <c r="D15" s="33"/>
      <c r="E15" s="33"/>
      <c r="F15" s="33"/>
      <c r="G15" s="33"/>
    </row>
    <row r="16" customFormat="false" ht="27.75" hidden="false" customHeight="true" outlineLevel="0" collapsed="false">
      <c r="A16" s="4" t="s">
        <v>414</v>
      </c>
      <c r="B16" s="4" t="s">
        <v>415</v>
      </c>
      <c r="C16" s="4" t="s">
        <v>416</v>
      </c>
      <c r="D16" s="4" t="s">
        <v>417</v>
      </c>
      <c r="E16" s="4" t="s">
        <v>418</v>
      </c>
      <c r="F16" s="4" t="s">
        <v>419</v>
      </c>
      <c r="G16" s="4" t="s">
        <v>420</v>
      </c>
      <c r="H16" s="16" t="s">
        <v>60</v>
      </c>
      <c r="I16" s="16" t="s">
        <v>62</v>
      </c>
      <c r="J16" s="16" t="s">
        <v>63</v>
      </c>
      <c r="K16" s="16" t="s">
        <v>64</v>
      </c>
      <c r="L16" s="16" t="s">
        <v>28</v>
      </c>
      <c r="M16" s="16" t="s">
        <v>65</v>
      </c>
    </row>
    <row r="17" customFormat="false" ht="19.5" hidden="false" customHeight="true" outlineLevel="0" collapsed="false">
      <c r="A17" s="5" t="s">
        <v>445</v>
      </c>
      <c r="B17" s="6" t="s">
        <v>446</v>
      </c>
      <c r="C17" s="5" t="s">
        <v>423</v>
      </c>
      <c r="D17" s="5" t="s">
        <v>447</v>
      </c>
      <c r="E17" s="17"/>
      <c r="F17" s="5" t="s">
        <v>448</v>
      </c>
      <c r="G17" s="6" t="s">
        <v>449</v>
      </c>
      <c r="H17" s="18" t="s">
        <v>135</v>
      </c>
      <c r="I17" s="18" t="s">
        <v>74</v>
      </c>
      <c r="J17" s="18" t="s">
        <v>74</v>
      </c>
      <c r="K17" s="18" t="s">
        <v>75</v>
      </c>
      <c r="L17" s="19"/>
      <c r="M17" s="18" t="n">
        <v>1</v>
      </c>
    </row>
    <row r="18" customFormat="false" ht="19.5" hidden="false" customHeight="true" outlineLevel="0" collapsed="false">
      <c r="A18" s="20" t="s">
        <v>445</v>
      </c>
      <c r="B18" s="21" t="s">
        <v>450</v>
      </c>
      <c r="C18" s="20" t="s">
        <v>423</v>
      </c>
      <c r="D18" s="20" t="s">
        <v>451</v>
      </c>
      <c r="E18" s="22"/>
      <c r="F18" s="20" t="s">
        <v>448</v>
      </c>
      <c r="G18" s="21" t="s">
        <v>452</v>
      </c>
      <c r="H18" s="18" t="s">
        <v>135</v>
      </c>
      <c r="I18" s="18" t="s">
        <v>74</v>
      </c>
      <c r="J18" s="18" t="s">
        <v>74</v>
      </c>
      <c r="K18" s="18" t="s">
        <v>75</v>
      </c>
      <c r="L18" s="19"/>
      <c r="M18" s="18" t="n">
        <v>1</v>
      </c>
    </row>
    <row r="19" customFormat="false" ht="19.5" hidden="false" customHeight="true" outlineLevel="0" collapsed="false">
      <c r="A19" s="5" t="s">
        <v>445</v>
      </c>
      <c r="B19" s="6" t="s">
        <v>453</v>
      </c>
      <c r="C19" s="5" t="s">
        <v>429</v>
      </c>
      <c r="D19" s="5" t="s">
        <v>454</v>
      </c>
      <c r="E19" s="17"/>
      <c r="F19" s="5" t="s">
        <v>455</v>
      </c>
      <c r="G19" s="6" t="s">
        <v>456</v>
      </c>
      <c r="H19" s="18" t="s">
        <v>135</v>
      </c>
      <c r="I19" s="18" t="s">
        <v>74</v>
      </c>
      <c r="J19" s="18" t="s">
        <v>74</v>
      </c>
      <c r="K19" s="18" t="s">
        <v>75</v>
      </c>
      <c r="L19" s="19"/>
      <c r="M19" s="18" t="n">
        <v>1</v>
      </c>
    </row>
    <row r="21" customFormat="false" ht="15" hidden="false" customHeight="false" outlineLevel="0" collapsed="false">
      <c r="A21" s="33" t="s">
        <v>457</v>
      </c>
      <c r="B21" s="33"/>
      <c r="C21" s="33"/>
      <c r="D21" s="33"/>
      <c r="E21" s="33"/>
      <c r="F21" s="33"/>
      <c r="G21" s="33"/>
    </row>
    <row r="22" customFormat="false" ht="27.75" hidden="false" customHeight="true" outlineLevel="0" collapsed="false">
      <c r="A22" s="4" t="s">
        <v>414</v>
      </c>
      <c r="B22" s="4" t="s">
        <v>415</v>
      </c>
      <c r="C22" s="4" t="s">
        <v>416</v>
      </c>
      <c r="D22" s="4" t="s">
        <v>417</v>
      </c>
      <c r="E22" s="4" t="s">
        <v>418</v>
      </c>
      <c r="F22" s="4" t="s">
        <v>419</v>
      </c>
      <c r="G22" s="4" t="s">
        <v>420</v>
      </c>
      <c r="H22" s="16" t="s">
        <v>60</v>
      </c>
      <c r="I22" s="16" t="s">
        <v>62</v>
      </c>
      <c r="J22" s="16" t="s">
        <v>63</v>
      </c>
      <c r="K22" s="16" t="s">
        <v>64</v>
      </c>
      <c r="L22" s="16" t="s">
        <v>28</v>
      </c>
      <c r="M22" s="16" t="s">
        <v>65</v>
      </c>
    </row>
    <row r="23" customFormat="false" ht="19.5" hidden="false" customHeight="true" outlineLevel="0" collapsed="false">
      <c r="A23" s="5" t="s">
        <v>458</v>
      </c>
      <c r="B23" s="6" t="s">
        <v>459</v>
      </c>
      <c r="C23" s="5" t="s">
        <v>423</v>
      </c>
      <c r="D23" s="5" t="s">
        <v>460</v>
      </c>
      <c r="E23" s="17"/>
      <c r="F23" s="5" t="s">
        <v>461</v>
      </c>
      <c r="G23" s="6" t="s">
        <v>462</v>
      </c>
      <c r="H23" s="18" t="s">
        <v>193</v>
      </c>
      <c r="I23" s="18" t="s">
        <v>74</v>
      </c>
      <c r="J23" s="18" t="s">
        <v>74</v>
      </c>
      <c r="K23" s="18" t="s">
        <v>75</v>
      </c>
      <c r="L23" s="19"/>
      <c r="M23" s="18" t="n">
        <v>1</v>
      </c>
    </row>
    <row r="24" customFormat="false" ht="19.5" hidden="false" customHeight="true" outlineLevel="0" collapsed="false">
      <c r="A24" s="20" t="s">
        <v>458</v>
      </c>
      <c r="B24" s="21" t="s">
        <v>463</v>
      </c>
      <c r="C24" s="20" t="s">
        <v>429</v>
      </c>
      <c r="D24" s="20" t="s">
        <v>430</v>
      </c>
      <c r="E24" s="22"/>
      <c r="F24" s="20" t="s">
        <v>464</v>
      </c>
      <c r="G24" s="21" t="s">
        <v>465</v>
      </c>
      <c r="H24" s="18" t="s">
        <v>193</v>
      </c>
      <c r="I24" s="18" t="s">
        <v>74</v>
      </c>
      <c r="J24" s="18" t="s">
        <v>74</v>
      </c>
      <c r="K24" s="18" t="s">
        <v>75</v>
      </c>
      <c r="L24" s="19"/>
      <c r="M24" s="18" t="n">
        <v>1</v>
      </c>
    </row>
    <row r="26" customFormat="false" ht="15" hidden="false" customHeight="false" outlineLevel="0" collapsed="false">
      <c r="A26" s="33" t="s">
        <v>466</v>
      </c>
      <c r="B26" s="33"/>
      <c r="C26" s="33"/>
      <c r="D26" s="33"/>
      <c r="E26" s="33"/>
      <c r="F26" s="33"/>
      <c r="G26" s="33"/>
    </row>
    <row r="27" customFormat="false" ht="27.75" hidden="false" customHeight="true" outlineLevel="0" collapsed="false">
      <c r="A27" s="4" t="s">
        <v>414</v>
      </c>
      <c r="B27" s="4" t="s">
        <v>415</v>
      </c>
      <c r="C27" s="4" t="s">
        <v>416</v>
      </c>
      <c r="D27" s="4" t="s">
        <v>417</v>
      </c>
      <c r="E27" s="4" t="s">
        <v>418</v>
      </c>
      <c r="F27" s="4" t="s">
        <v>419</v>
      </c>
      <c r="G27" s="4" t="s">
        <v>420</v>
      </c>
      <c r="H27" s="16" t="s">
        <v>60</v>
      </c>
      <c r="I27" s="16" t="s">
        <v>62</v>
      </c>
      <c r="J27" s="16" t="s">
        <v>63</v>
      </c>
      <c r="K27" s="16" t="s">
        <v>64</v>
      </c>
      <c r="L27" s="16" t="s">
        <v>28</v>
      </c>
      <c r="M27" s="16" t="s">
        <v>65</v>
      </c>
    </row>
    <row r="28" customFormat="false" ht="19.5" hidden="false" customHeight="true" outlineLevel="0" collapsed="false">
      <c r="A28" s="5" t="s">
        <v>467</v>
      </c>
      <c r="B28" s="6" t="s">
        <v>468</v>
      </c>
      <c r="C28" s="5" t="s">
        <v>423</v>
      </c>
      <c r="D28" s="5" t="s">
        <v>469</v>
      </c>
      <c r="E28" s="17"/>
      <c r="F28" s="5" t="s">
        <v>470</v>
      </c>
      <c r="G28" s="6" t="s">
        <v>471</v>
      </c>
      <c r="H28" s="18" t="s">
        <v>472</v>
      </c>
      <c r="I28" s="18" t="s">
        <v>74</v>
      </c>
      <c r="J28" s="18" t="s">
        <v>74</v>
      </c>
      <c r="K28" s="18" t="s">
        <v>75</v>
      </c>
      <c r="L28" s="19"/>
      <c r="M28" s="18" t="n">
        <v>1</v>
      </c>
    </row>
    <row r="29" customFormat="false" ht="19.5" hidden="false" customHeight="true" outlineLevel="0" collapsed="false">
      <c r="A29" s="20" t="s">
        <v>467</v>
      </c>
      <c r="B29" s="21" t="s">
        <v>473</v>
      </c>
      <c r="C29" s="20" t="s">
        <v>474</v>
      </c>
      <c r="D29" s="20" t="s">
        <v>430</v>
      </c>
      <c r="E29" s="22"/>
      <c r="F29" s="20" t="s">
        <v>475</v>
      </c>
      <c r="G29" s="21" t="s">
        <v>476</v>
      </c>
      <c r="H29" s="18" t="s">
        <v>472</v>
      </c>
      <c r="I29" s="18" t="s">
        <v>96</v>
      </c>
      <c r="J29" s="18" t="s">
        <v>74</v>
      </c>
      <c r="K29" s="18" t="s">
        <v>75</v>
      </c>
      <c r="L29" s="19"/>
      <c r="M29" s="18" t="n">
        <v>1</v>
      </c>
    </row>
    <row r="30" customFormat="false" ht="19.5" hidden="false" customHeight="true" outlineLevel="0" collapsed="false">
      <c r="A30" s="5" t="s">
        <v>467</v>
      </c>
      <c r="B30" s="6" t="s">
        <v>477</v>
      </c>
      <c r="C30" s="5" t="s">
        <v>478</v>
      </c>
      <c r="D30" s="5" t="s">
        <v>430</v>
      </c>
      <c r="E30" s="17"/>
      <c r="F30" s="5" t="s">
        <v>475</v>
      </c>
      <c r="G30" s="6" t="s">
        <v>479</v>
      </c>
      <c r="H30" s="18" t="s">
        <v>472</v>
      </c>
      <c r="I30" s="18" t="s">
        <v>96</v>
      </c>
      <c r="J30" s="18" t="s">
        <v>74</v>
      </c>
      <c r="K30" s="18" t="s">
        <v>75</v>
      </c>
      <c r="L30" s="19"/>
      <c r="M30" s="18" t="n">
        <v>1</v>
      </c>
    </row>
  </sheetData>
  <mergeCells count="7">
    <mergeCell ref="A1:G1"/>
    <mergeCell ref="A2:G2"/>
    <mergeCell ref="A4:G4"/>
    <mergeCell ref="A10:G10"/>
    <mergeCell ref="A15:G15"/>
    <mergeCell ref="A21:G21"/>
    <mergeCell ref="A26:G26"/>
  </mergeCells>
  <dataValidations count="3">
    <dataValidation allowBlank="true" errorStyle="stop" operator="between" showDropDown="false" showErrorMessage="false" showInputMessage="false" sqref="H5:H180" type="list">
      <formula1>"ALL,General,Refrigerated,OOG,Dangerous,Other"</formula1>
      <formula2>0</formula2>
    </dataValidation>
    <dataValidation allowBlank="true" errorStyle="stop" operator="between" showDropDown="false" showErrorMessage="false" showInputMessage="false" sqref="I5:J180" type="list">
      <formula1>"Y,N"</formula1>
      <formula2>0</formula2>
    </dataValidation>
    <dataValidation allowBlank="true" errorStyle="stop" operator="between" showDropDown="false" showErrorMessage="false" showInputMessage="false" sqref="K5:K180" type="list">
      <formula1>"Auto,Editable"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4"/>
    <col collapsed="false" customWidth="true" hidden="false" outlineLevel="0" max="4" min="3" style="0" width="20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7" min="7" style="0" width="34"/>
    <col collapsed="false" customWidth="true" hidden="false" outlineLevel="0" max="9" min="8" style="0" width="11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4" min="13" style="0" width="11"/>
    <col collapsed="false" customWidth="true" hidden="false" outlineLevel="0" max="15" min="15" style="0" width="13"/>
    <col collapsed="false" customWidth="true" hidden="false" outlineLevel="0" max="16" min="16" style="0" width="10"/>
    <col collapsed="false" customWidth="true" hidden="false" outlineLevel="0" max="17" min="17" style="0" width="11"/>
    <col collapsed="false" customWidth="true" hidden="false" outlineLevel="0" max="18" min="18" style="0" width="14"/>
    <col collapsed="false" customWidth="true" hidden="false" outlineLevel="0" max="19" min="19" style="0" width="20"/>
  </cols>
  <sheetData>
    <row r="1" customFormat="false" ht="15" hidden="false" customHeight="false" outlineLevel="0" collapsed="false">
      <c r="A1" s="35" t="s">
        <v>480</v>
      </c>
    </row>
    <row r="2" customFormat="false" ht="15" hidden="false" customHeight="false" outlineLevel="0" collapsed="false">
      <c r="A2" s="36" t="s">
        <v>481</v>
      </c>
    </row>
    <row r="4" customFormat="false" ht="15" hidden="false" customHeight="false" outlineLevel="0" collapsed="false">
      <c r="A4" s="16" t="s">
        <v>50</v>
      </c>
      <c r="B4" s="16" t="s">
        <v>51</v>
      </c>
      <c r="C4" s="16" t="s">
        <v>52</v>
      </c>
      <c r="D4" s="16" t="s">
        <v>53</v>
      </c>
      <c r="E4" s="16" t="s">
        <v>54</v>
      </c>
      <c r="F4" s="16" t="s">
        <v>55</v>
      </c>
      <c r="G4" s="16" t="s">
        <v>56</v>
      </c>
      <c r="H4" s="16" t="s">
        <v>57</v>
      </c>
      <c r="I4" s="16" t="s">
        <v>58</v>
      </c>
      <c r="J4" s="16" t="s">
        <v>59</v>
      </c>
      <c r="K4" s="16" t="s">
        <v>60</v>
      </c>
      <c r="L4" s="16" t="s">
        <v>61</v>
      </c>
      <c r="M4" s="16" t="s">
        <v>62</v>
      </c>
      <c r="N4" s="16" t="s">
        <v>63</v>
      </c>
      <c r="O4" s="16" t="s">
        <v>64</v>
      </c>
      <c r="P4" s="16" t="s">
        <v>28</v>
      </c>
      <c r="Q4" s="16" t="s">
        <v>65</v>
      </c>
      <c r="R4" s="16" t="s">
        <v>482</v>
      </c>
      <c r="S4" s="16" t="s">
        <v>483</v>
      </c>
    </row>
    <row r="5" customFormat="false" ht="15" hidden="false" customHeight="false" outlineLevel="0" collapsed="false">
      <c r="A5" s="37" t="s">
        <v>484</v>
      </c>
      <c r="B5" s="38" t="s">
        <v>485</v>
      </c>
      <c r="C5" s="39" t="s">
        <v>33</v>
      </c>
      <c r="D5" s="37" t="s">
        <v>68</v>
      </c>
      <c r="E5" s="37" t="s">
        <v>69</v>
      </c>
      <c r="F5" s="40"/>
      <c r="G5" s="38" t="s">
        <v>486</v>
      </c>
      <c r="H5" s="18" t="s">
        <v>73</v>
      </c>
      <c r="I5" s="18" t="s">
        <v>72</v>
      </c>
      <c r="J5" s="18" t="s">
        <v>73</v>
      </c>
      <c r="K5" s="18" t="s">
        <v>135</v>
      </c>
      <c r="L5" s="18" t="s">
        <v>73</v>
      </c>
      <c r="M5" s="18" t="s">
        <v>74</v>
      </c>
      <c r="N5" s="18" t="s">
        <v>74</v>
      </c>
      <c r="O5" s="18" t="s">
        <v>75</v>
      </c>
      <c r="P5" s="19"/>
      <c r="Q5" s="18" t="n">
        <v>1</v>
      </c>
      <c r="R5" s="18" t="s">
        <v>487</v>
      </c>
      <c r="S5" s="41" t="s">
        <v>488</v>
      </c>
    </row>
    <row r="6" customFormat="false" ht="15" hidden="false" customHeight="false" outlineLevel="0" collapsed="false">
      <c r="A6" s="37" t="s">
        <v>489</v>
      </c>
      <c r="B6" s="38" t="s">
        <v>490</v>
      </c>
      <c r="C6" s="39" t="s">
        <v>36</v>
      </c>
      <c r="D6" s="37" t="s">
        <v>491</v>
      </c>
      <c r="E6" s="37" t="s">
        <v>103</v>
      </c>
      <c r="F6" s="40"/>
      <c r="G6" s="38" t="s">
        <v>492</v>
      </c>
      <c r="H6" s="18" t="s">
        <v>73</v>
      </c>
      <c r="I6" s="18" t="s">
        <v>72</v>
      </c>
      <c r="J6" s="18" t="s">
        <v>73</v>
      </c>
      <c r="K6" s="18" t="s">
        <v>135</v>
      </c>
      <c r="L6" s="18" t="s">
        <v>73</v>
      </c>
      <c r="M6" s="18" t="s">
        <v>96</v>
      </c>
      <c r="N6" s="18" t="s">
        <v>74</v>
      </c>
      <c r="O6" s="18" t="s">
        <v>75</v>
      </c>
      <c r="P6" s="19"/>
      <c r="Q6" s="18" t="n">
        <v>1</v>
      </c>
      <c r="R6" s="18" t="s">
        <v>487</v>
      </c>
      <c r="S6" s="41" t="s">
        <v>488</v>
      </c>
    </row>
    <row r="7" customFormat="false" ht="15" hidden="false" customHeight="false" outlineLevel="0" collapsed="false">
      <c r="A7" s="37" t="s">
        <v>493</v>
      </c>
      <c r="B7" s="38" t="s">
        <v>494</v>
      </c>
      <c r="C7" s="39" t="s">
        <v>30</v>
      </c>
      <c r="D7" s="37" t="s">
        <v>68</v>
      </c>
      <c r="E7" s="37" t="s">
        <v>103</v>
      </c>
      <c r="F7" s="40"/>
      <c r="G7" s="38"/>
      <c r="H7" s="18" t="s">
        <v>73</v>
      </c>
      <c r="I7" s="18" t="s">
        <v>72</v>
      </c>
      <c r="J7" s="18" t="s">
        <v>73</v>
      </c>
      <c r="K7" s="18" t="s">
        <v>135</v>
      </c>
      <c r="L7" s="18" t="s">
        <v>73</v>
      </c>
      <c r="M7" s="18" t="s">
        <v>96</v>
      </c>
      <c r="N7" s="18" t="s">
        <v>74</v>
      </c>
      <c r="O7" s="18" t="s">
        <v>79</v>
      </c>
      <c r="P7" s="19"/>
      <c r="Q7" s="18" t="n">
        <v>1</v>
      </c>
      <c r="R7" s="18" t="s">
        <v>487</v>
      </c>
      <c r="S7" s="41" t="s">
        <v>488</v>
      </c>
    </row>
    <row r="8" customFormat="false" ht="15" hidden="false" customHeight="false" outlineLevel="0" collapsed="false">
      <c r="A8" s="37" t="s">
        <v>495</v>
      </c>
      <c r="B8" s="38" t="s">
        <v>496</v>
      </c>
      <c r="C8" s="39" t="s">
        <v>41</v>
      </c>
      <c r="D8" s="37" t="s">
        <v>68</v>
      </c>
      <c r="E8" s="37" t="s">
        <v>103</v>
      </c>
      <c r="F8" s="40"/>
      <c r="G8" s="38" t="s">
        <v>497</v>
      </c>
      <c r="H8" s="18" t="s">
        <v>73</v>
      </c>
      <c r="I8" s="18" t="s">
        <v>72</v>
      </c>
      <c r="J8" s="18" t="s">
        <v>73</v>
      </c>
      <c r="K8" s="18" t="s">
        <v>135</v>
      </c>
      <c r="L8" s="18" t="s">
        <v>73</v>
      </c>
      <c r="M8" s="18" t="s">
        <v>96</v>
      </c>
      <c r="N8" s="18" t="s">
        <v>74</v>
      </c>
      <c r="O8" s="18" t="s">
        <v>75</v>
      </c>
      <c r="P8" s="19"/>
      <c r="Q8" s="18" t="n">
        <v>1</v>
      </c>
      <c r="R8" s="18" t="s">
        <v>487</v>
      </c>
      <c r="S8" s="41" t="s">
        <v>488</v>
      </c>
    </row>
    <row r="9" customFormat="false" ht="15" hidden="false" customHeight="false" outlineLevel="0" collapsed="false">
      <c r="A9" s="37" t="s">
        <v>498</v>
      </c>
      <c r="B9" s="38" t="s">
        <v>499</v>
      </c>
      <c r="C9" s="39" t="s">
        <v>33</v>
      </c>
      <c r="D9" s="37" t="s">
        <v>221</v>
      </c>
      <c r="E9" s="37" t="s">
        <v>69</v>
      </c>
      <c r="F9" s="40"/>
      <c r="G9" s="38" t="s">
        <v>500</v>
      </c>
      <c r="H9" s="18" t="s">
        <v>73</v>
      </c>
      <c r="I9" s="18" t="s">
        <v>73</v>
      </c>
      <c r="J9" s="18" t="s">
        <v>73</v>
      </c>
      <c r="K9" s="18" t="s">
        <v>135</v>
      </c>
      <c r="L9" s="18" t="s">
        <v>73</v>
      </c>
      <c r="M9" s="18" t="s">
        <v>74</v>
      </c>
      <c r="N9" s="18" t="s">
        <v>74</v>
      </c>
      <c r="O9" s="18" t="s">
        <v>75</v>
      </c>
      <c r="P9" s="19"/>
      <c r="Q9" s="18" t="n">
        <v>1</v>
      </c>
      <c r="R9" s="18" t="s">
        <v>501</v>
      </c>
      <c r="S9" s="41" t="s">
        <v>488</v>
      </c>
    </row>
    <row r="10" customFormat="false" ht="15" hidden="false" customHeight="false" outlineLevel="0" collapsed="false">
      <c r="A10" s="37" t="s">
        <v>502</v>
      </c>
      <c r="B10" s="38" t="s">
        <v>503</v>
      </c>
      <c r="C10" s="39" t="s">
        <v>36</v>
      </c>
      <c r="D10" s="37" t="s">
        <v>504</v>
      </c>
      <c r="E10" s="37" t="s">
        <v>103</v>
      </c>
      <c r="F10" s="40"/>
      <c r="G10" s="38" t="s">
        <v>492</v>
      </c>
      <c r="H10" s="18" t="s">
        <v>73</v>
      </c>
      <c r="I10" s="18" t="s">
        <v>73</v>
      </c>
      <c r="J10" s="18" t="s">
        <v>73</v>
      </c>
      <c r="K10" s="18" t="s">
        <v>135</v>
      </c>
      <c r="L10" s="18" t="s">
        <v>73</v>
      </c>
      <c r="M10" s="18" t="s">
        <v>96</v>
      </c>
      <c r="N10" s="18" t="s">
        <v>74</v>
      </c>
      <c r="O10" s="18" t="s">
        <v>75</v>
      </c>
      <c r="P10" s="19"/>
      <c r="Q10" s="18" t="n">
        <v>1</v>
      </c>
      <c r="R10" s="18" t="s">
        <v>501</v>
      </c>
      <c r="S10" s="41" t="s">
        <v>488</v>
      </c>
    </row>
    <row r="11" customFormat="false" ht="15" hidden="false" customHeight="false" outlineLevel="0" collapsed="false">
      <c r="A11" s="37" t="s">
        <v>505</v>
      </c>
      <c r="B11" s="38" t="s">
        <v>506</v>
      </c>
      <c r="C11" s="39" t="s">
        <v>33</v>
      </c>
      <c r="D11" s="37" t="s">
        <v>209</v>
      </c>
      <c r="E11" s="37" t="s">
        <v>103</v>
      </c>
      <c r="F11" s="40"/>
      <c r="G11" s="38"/>
      <c r="H11" s="18" t="s">
        <v>73</v>
      </c>
      <c r="I11" s="18" t="s">
        <v>73</v>
      </c>
      <c r="J11" s="18" t="s">
        <v>73</v>
      </c>
      <c r="K11" s="18" t="s">
        <v>135</v>
      </c>
      <c r="L11" s="18" t="s">
        <v>73</v>
      </c>
      <c r="M11" s="18" t="s">
        <v>74</v>
      </c>
      <c r="N11" s="18" t="s">
        <v>74</v>
      </c>
      <c r="O11" s="18" t="s">
        <v>75</v>
      </c>
      <c r="P11" s="19"/>
      <c r="Q11" s="18" t="n">
        <v>1</v>
      </c>
      <c r="R11" s="18" t="s">
        <v>507</v>
      </c>
      <c r="S11" s="41" t="s">
        <v>488</v>
      </c>
    </row>
    <row r="12" customFormat="false" ht="15" hidden="false" customHeight="false" outlineLevel="0" collapsed="false">
      <c r="A12" s="37" t="s">
        <v>508</v>
      </c>
      <c r="B12" s="38" t="s">
        <v>509</v>
      </c>
      <c r="C12" s="39" t="s">
        <v>33</v>
      </c>
      <c r="D12" s="37" t="s">
        <v>68</v>
      </c>
      <c r="E12" s="37" t="s">
        <v>69</v>
      </c>
      <c r="F12" s="40"/>
      <c r="G12" s="38" t="s">
        <v>510</v>
      </c>
      <c r="H12" s="18" t="s">
        <v>73</v>
      </c>
      <c r="I12" s="18" t="s">
        <v>73</v>
      </c>
      <c r="J12" s="18" t="s">
        <v>73</v>
      </c>
      <c r="K12" s="18" t="s">
        <v>511</v>
      </c>
      <c r="L12" s="18" t="s">
        <v>73</v>
      </c>
      <c r="M12" s="18" t="s">
        <v>74</v>
      </c>
      <c r="N12" s="18" t="s">
        <v>74</v>
      </c>
      <c r="O12" s="18" t="s">
        <v>75</v>
      </c>
      <c r="P12" s="19"/>
      <c r="Q12" s="18" t="n">
        <v>1</v>
      </c>
      <c r="R12" s="18" t="s">
        <v>487</v>
      </c>
      <c r="S12" s="41" t="s">
        <v>488</v>
      </c>
    </row>
    <row r="13" customFormat="false" ht="15" hidden="false" customHeight="false" outlineLevel="0" collapsed="false">
      <c r="A13" s="37" t="s">
        <v>512</v>
      </c>
      <c r="B13" s="38" t="s">
        <v>513</v>
      </c>
      <c r="C13" s="39" t="s">
        <v>30</v>
      </c>
      <c r="D13" s="37" t="s">
        <v>82</v>
      </c>
      <c r="E13" s="37" t="s">
        <v>103</v>
      </c>
      <c r="F13" s="40"/>
      <c r="G13" s="38"/>
      <c r="H13" s="18" t="s">
        <v>73</v>
      </c>
      <c r="I13" s="18" t="s">
        <v>73</v>
      </c>
      <c r="J13" s="18" t="s">
        <v>73</v>
      </c>
      <c r="K13" s="18" t="s">
        <v>511</v>
      </c>
      <c r="L13" s="18" t="s">
        <v>73</v>
      </c>
      <c r="M13" s="18" t="s">
        <v>96</v>
      </c>
      <c r="N13" s="18" t="s">
        <v>74</v>
      </c>
      <c r="O13" s="18" t="s">
        <v>75</v>
      </c>
      <c r="P13" s="19"/>
      <c r="Q13" s="18" t="n">
        <v>1</v>
      </c>
      <c r="R13" s="18" t="s">
        <v>487</v>
      </c>
      <c r="S13" s="41" t="s">
        <v>488</v>
      </c>
    </row>
    <row r="14" customFormat="false" ht="15" hidden="false" customHeight="false" outlineLevel="0" collapsed="false">
      <c r="A14" s="37" t="s">
        <v>514</v>
      </c>
      <c r="B14" s="38" t="s">
        <v>515</v>
      </c>
      <c r="C14" s="39" t="s">
        <v>36</v>
      </c>
      <c r="D14" s="37" t="s">
        <v>82</v>
      </c>
      <c r="E14" s="37" t="s">
        <v>103</v>
      </c>
      <c r="F14" s="40"/>
      <c r="G14" s="38" t="s">
        <v>492</v>
      </c>
      <c r="H14" s="18" t="s">
        <v>73</v>
      </c>
      <c r="I14" s="18" t="s">
        <v>73</v>
      </c>
      <c r="J14" s="18" t="s">
        <v>73</v>
      </c>
      <c r="K14" s="18" t="s">
        <v>511</v>
      </c>
      <c r="L14" s="18" t="s">
        <v>73</v>
      </c>
      <c r="M14" s="18" t="s">
        <v>96</v>
      </c>
      <c r="N14" s="18" t="s">
        <v>74</v>
      </c>
      <c r="O14" s="18" t="s">
        <v>75</v>
      </c>
      <c r="P14" s="19"/>
      <c r="Q14" s="18" t="n">
        <v>1</v>
      </c>
      <c r="R14" s="18" t="s">
        <v>487</v>
      </c>
      <c r="S14" s="41" t="s">
        <v>488</v>
      </c>
    </row>
    <row r="15" customFormat="false" ht="15" hidden="false" customHeight="false" outlineLevel="0" collapsed="false">
      <c r="A15" s="37" t="s">
        <v>516</v>
      </c>
      <c r="B15" s="38" t="s">
        <v>517</v>
      </c>
      <c r="C15" s="39" t="s">
        <v>33</v>
      </c>
      <c r="D15" s="37" t="s">
        <v>82</v>
      </c>
      <c r="E15" s="37" t="s">
        <v>69</v>
      </c>
      <c r="F15" s="40"/>
      <c r="G15" s="38" t="s">
        <v>518</v>
      </c>
      <c r="H15" s="18" t="s">
        <v>73</v>
      </c>
      <c r="I15" s="18" t="s">
        <v>73</v>
      </c>
      <c r="J15" s="18" t="s">
        <v>73</v>
      </c>
      <c r="K15" s="18" t="s">
        <v>511</v>
      </c>
      <c r="L15" s="18" t="s">
        <v>73</v>
      </c>
      <c r="M15" s="18" t="s">
        <v>74</v>
      </c>
      <c r="N15" s="18" t="s">
        <v>74</v>
      </c>
      <c r="O15" s="18" t="s">
        <v>75</v>
      </c>
      <c r="P15" s="19"/>
      <c r="Q15" s="18" t="n">
        <v>1</v>
      </c>
      <c r="R15" s="18" t="s">
        <v>501</v>
      </c>
      <c r="S15" s="41" t="s">
        <v>488</v>
      </c>
    </row>
    <row r="16" customFormat="false" ht="15" hidden="false" customHeight="false" outlineLevel="0" collapsed="false">
      <c r="A16" s="37" t="s">
        <v>519</v>
      </c>
      <c r="B16" s="38" t="s">
        <v>520</v>
      </c>
      <c r="C16" s="39" t="s">
        <v>33</v>
      </c>
      <c r="D16" s="37" t="s">
        <v>209</v>
      </c>
      <c r="E16" s="37" t="s">
        <v>103</v>
      </c>
      <c r="F16" s="40"/>
      <c r="G16" s="38"/>
      <c r="H16" s="18" t="s">
        <v>73</v>
      </c>
      <c r="I16" s="18" t="s">
        <v>73</v>
      </c>
      <c r="J16" s="18" t="s">
        <v>73</v>
      </c>
      <c r="K16" s="18" t="s">
        <v>511</v>
      </c>
      <c r="L16" s="18" t="s">
        <v>73</v>
      </c>
      <c r="M16" s="18" t="s">
        <v>74</v>
      </c>
      <c r="N16" s="18" t="s">
        <v>74</v>
      </c>
      <c r="O16" s="18" t="s">
        <v>75</v>
      </c>
      <c r="P16" s="19"/>
      <c r="Q16" s="18" t="n">
        <v>1</v>
      </c>
      <c r="R16" s="18" t="s">
        <v>507</v>
      </c>
      <c r="S16" s="41" t="s">
        <v>488</v>
      </c>
    </row>
    <row r="17" customFormat="false" ht="15" hidden="false" customHeight="false" outlineLevel="0" collapsed="false">
      <c r="A17" s="37" t="s">
        <v>521</v>
      </c>
      <c r="B17" s="38" t="s">
        <v>522</v>
      </c>
      <c r="C17" s="39" t="s">
        <v>33</v>
      </c>
      <c r="D17" s="37" t="s">
        <v>209</v>
      </c>
      <c r="E17" s="37" t="s">
        <v>103</v>
      </c>
      <c r="F17" s="40"/>
      <c r="G17" s="38" t="s">
        <v>492</v>
      </c>
      <c r="H17" s="18" t="s">
        <v>73</v>
      </c>
      <c r="I17" s="18" t="s">
        <v>73</v>
      </c>
      <c r="J17" s="18" t="s">
        <v>73</v>
      </c>
      <c r="K17" s="18" t="s">
        <v>511</v>
      </c>
      <c r="L17" s="18" t="s">
        <v>73</v>
      </c>
      <c r="M17" s="18" t="s">
        <v>96</v>
      </c>
      <c r="N17" s="18" t="s">
        <v>74</v>
      </c>
      <c r="O17" s="18" t="s">
        <v>75</v>
      </c>
      <c r="P17" s="19"/>
      <c r="Q17" s="18" t="n">
        <v>1</v>
      </c>
      <c r="R17" s="18" t="s">
        <v>507</v>
      </c>
      <c r="S17" s="41" t="s">
        <v>488</v>
      </c>
    </row>
    <row r="18" customFormat="false" ht="28.35" hidden="false" customHeight="false" outlineLevel="0" collapsed="false">
      <c r="A18" s="37" t="s">
        <v>523</v>
      </c>
      <c r="B18" s="38" t="s">
        <v>524</v>
      </c>
      <c r="C18" s="39" t="s">
        <v>33</v>
      </c>
      <c r="D18" s="37" t="s">
        <v>68</v>
      </c>
      <c r="E18" s="37" t="s">
        <v>69</v>
      </c>
      <c r="F18" s="40"/>
      <c r="G18" s="38" t="s">
        <v>525</v>
      </c>
      <c r="H18" s="18" t="s">
        <v>71</v>
      </c>
      <c r="I18" s="18" t="s">
        <v>73</v>
      </c>
      <c r="J18" s="18" t="s">
        <v>73</v>
      </c>
      <c r="K18" s="18" t="s">
        <v>193</v>
      </c>
      <c r="L18" s="18" t="s">
        <v>73</v>
      </c>
      <c r="M18" s="18" t="s">
        <v>74</v>
      </c>
      <c r="N18" s="18" t="s">
        <v>74</v>
      </c>
      <c r="O18" s="18" t="s">
        <v>75</v>
      </c>
      <c r="P18" s="19"/>
      <c r="Q18" s="18" t="n">
        <v>1</v>
      </c>
      <c r="R18" s="18" t="s">
        <v>487</v>
      </c>
      <c r="S18" s="41" t="s">
        <v>488</v>
      </c>
    </row>
    <row r="19" customFormat="false" ht="15" hidden="false" customHeight="false" outlineLevel="0" collapsed="false">
      <c r="A19" s="37" t="s">
        <v>526</v>
      </c>
      <c r="B19" s="38" t="s">
        <v>527</v>
      </c>
      <c r="C19" s="39" t="s">
        <v>30</v>
      </c>
      <c r="D19" s="37" t="s">
        <v>82</v>
      </c>
      <c r="E19" s="37" t="s">
        <v>103</v>
      </c>
      <c r="F19" s="40"/>
      <c r="G19" s="38"/>
      <c r="H19" s="18" t="s">
        <v>73</v>
      </c>
      <c r="I19" s="18" t="s">
        <v>73</v>
      </c>
      <c r="J19" s="18" t="s">
        <v>73</v>
      </c>
      <c r="K19" s="18" t="s">
        <v>193</v>
      </c>
      <c r="L19" s="18" t="s">
        <v>73</v>
      </c>
      <c r="M19" s="18" t="s">
        <v>74</v>
      </c>
      <c r="N19" s="18" t="s">
        <v>74</v>
      </c>
      <c r="O19" s="18" t="s">
        <v>79</v>
      </c>
      <c r="P19" s="19"/>
      <c r="Q19" s="18" t="n">
        <v>1</v>
      </c>
      <c r="R19" s="18" t="s">
        <v>487</v>
      </c>
      <c r="S19" s="41" t="s">
        <v>488</v>
      </c>
    </row>
    <row r="20" customFormat="false" ht="15" hidden="false" customHeight="false" outlineLevel="0" collapsed="false">
      <c r="A20" s="37" t="s">
        <v>528</v>
      </c>
      <c r="B20" s="38" t="s">
        <v>529</v>
      </c>
      <c r="C20" s="39" t="s">
        <v>36</v>
      </c>
      <c r="D20" s="37" t="s">
        <v>491</v>
      </c>
      <c r="E20" s="37" t="s">
        <v>103</v>
      </c>
      <c r="F20" s="40"/>
      <c r="G20" s="38" t="s">
        <v>492</v>
      </c>
      <c r="H20" s="18" t="s">
        <v>73</v>
      </c>
      <c r="I20" s="18" t="s">
        <v>73</v>
      </c>
      <c r="J20" s="18" t="s">
        <v>73</v>
      </c>
      <c r="K20" s="18" t="s">
        <v>193</v>
      </c>
      <c r="L20" s="18" t="s">
        <v>73</v>
      </c>
      <c r="M20" s="18" t="s">
        <v>96</v>
      </c>
      <c r="N20" s="18" t="s">
        <v>74</v>
      </c>
      <c r="O20" s="18" t="s">
        <v>75</v>
      </c>
      <c r="P20" s="19"/>
      <c r="Q20" s="18" t="n">
        <v>1</v>
      </c>
      <c r="R20" s="18" t="s">
        <v>487</v>
      </c>
      <c r="S20" s="41" t="s">
        <v>488</v>
      </c>
    </row>
    <row r="21" customFormat="false" ht="15" hidden="false" customHeight="false" outlineLevel="0" collapsed="false">
      <c r="A21" s="37" t="s">
        <v>530</v>
      </c>
      <c r="B21" s="38" t="s">
        <v>531</v>
      </c>
      <c r="C21" s="39" t="s">
        <v>30</v>
      </c>
      <c r="D21" s="37" t="s">
        <v>82</v>
      </c>
      <c r="E21" s="37" t="s">
        <v>69</v>
      </c>
      <c r="F21" s="40"/>
      <c r="G21" s="38"/>
      <c r="H21" s="18" t="s">
        <v>73</v>
      </c>
      <c r="I21" s="18" t="s">
        <v>73</v>
      </c>
      <c r="J21" s="18" t="s">
        <v>73</v>
      </c>
      <c r="K21" s="18" t="s">
        <v>193</v>
      </c>
      <c r="L21" s="18" t="s">
        <v>73</v>
      </c>
      <c r="M21" s="18" t="s">
        <v>74</v>
      </c>
      <c r="N21" s="18" t="s">
        <v>74</v>
      </c>
      <c r="O21" s="18" t="s">
        <v>79</v>
      </c>
      <c r="P21" s="19"/>
      <c r="Q21" s="18" t="n">
        <v>1</v>
      </c>
      <c r="R21" s="18" t="s">
        <v>501</v>
      </c>
      <c r="S21" s="41" t="s">
        <v>488</v>
      </c>
    </row>
    <row r="22" customFormat="false" ht="28.35" hidden="false" customHeight="false" outlineLevel="0" collapsed="false">
      <c r="A22" s="37" t="s">
        <v>532</v>
      </c>
      <c r="B22" s="38" t="s">
        <v>524</v>
      </c>
      <c r="C22" s="39" t="s">
        <v>33</v>
      </c>
      <c r="D22" s="37" t="s">
        <v>221</v>
      </c>
      <c r="E22" s="37" t="s">
        <v>69</v>
      </c>
      <c r="F22" s="40"/>
      <c r="G22" s="38" t="s">
        <v>533</v>
      </c>
      <c r="H22" s="18" t="s">
        <v>71</v>
      </c>
      <c r="I22" s="18" t="s">
        <v>73</v>
      </c>
      <c r="J22" s="18" t="s">
        <v>73</v>
      </c>
      <c r="K22" s="18" t="s">
        <v>193</v>
      </c>
      <c r="L22" s="18" t="s">
        <v>73</v>
      </c>
      <c r="M22" s="18" t="s">
        <v>74</v>
      </c>
      <c r="N22" s="18" t="s">
        <v>74</v>
      </c>
      <c r="O22" s="18" t="s">
        <v>75</v>
      </c>
      <c r="P22" s="19"/>
      <c r="Q22" s="18" t="n">
        <v>1</v>
      </c>
      <c r="R22" s="18" t="s">
        <v>501</v>
      </c>
      <c r="S22" s="41" t="s">
        <v>488</v>
      </c>
    </row>
    <row r="23" customFormat="false" ht="15" hidden="false" customHeight="false" outlineLevel="0" collapsed="false">
      <c r="A23" s="37" t="s">
        <v>534</v>
      </c>
      <c r="B23" s="38" t="s">
        <v>535</v>
      </c>
      <c r="C23" s="39" t="s">
        <v>33</v>
      </c>
      <c r="D23" s="37" t="s">
        <v>209</v>
      </c>
      <c r="E23" s="37" t="s">
        <v>103</v>
      </c>
      <c r="F23" s="40"/>
      <c r="G23" s="38"/>
      <c r="H23" s="18" t="s">
        <v>73</v>
      </c>
      <c r="I23" s="18" t="s">
        <v>73</v>
      </c>
      <c r="J23" s="18" t="s">
        <v>73</v>
      </c>
      <c r="K23" s="18" t="s">
        <v>193</v>
      </c>
      <c r="L23" s="18" t="s">
        <v>73</v>
      </c>
      <c r="M23" s="18" t="s">
        <v>74</v>
      </c>
      <c r="N23" s="18" t="s">
        <v>74</v>
      </c>
      <c r="O23" s="18" t="s">
        <v>75</v>
      </c>
      <c r="P23" s="19"/>
      <c r="Q23" s="18" t="n">
        <v>1</v>
      </c>
      <c r="R23" s="18" t="s">
        <v>507</v>
      </c>
      <c r="S23" s="41" t="s">
        <v>488</v>
      </c>
    </row>
    <row r="24" customFormat="false" ht="15" hidden="false" customHeight="false" outlineLevel="0" collapsed="false">
      <c r="A24" s="37" t="s">
        <v>536</v>
      </c>
      <c r="B24" s="38" t="s">
        <v>537</v>
      </c>
      <c r="C24" s="39" t="s">
        <v>538</v>
      </c>
      <c r="D24" s="37" t="s">
        <v>82</v>
      </c>
      <c r="E24" s="37" t="s">
        <v>103</v>
      </c>
      <c r="F24" s="40"/>
      <c r="G24" s="38" t="s">
        <v>539</v>
      </c>
      <c r="H24" s="18" t="s">
        <v>73</v>
      </c>
      <c r="I24" s="18" t="s">
        <v>73</v>
      </c>
      <c r="J24" s="18" t="s">
        <v>73</v>
      </c>
      <c r="K24" s="18" t="s">
        <v>472</v>
      </c>
      <c r="L24" s="18" t="s">
        <v>73</v>
      </c>
      <c r="M24" s="18" t="s">
        <v>74</v>
      </c>
      <c r="N24" s="18" t="s">
        <v>74</v>
      </c>
      <c r="O24" s="18" t="s">
        <v>75</v>
      </c>
      <c r="P24" s="19"/>
      <c r="Q24" s="18" t="n">
        <v>1</v>
      </c>
      <c r="R24" s="18" t="s">
        <v>540</v>
      </c>
      <c r="S24" s="41" t="s">
        <v>488</v>
      </c>
    </row>
    <row r="25" customFormat="false" ht="15" hidden="false" customHeight="false" outlineLevel="0" collapsed="false">
      <c r="A25" s="37" t="s">
        <v>541</v>
      </c>
      <c r="B25" s="38" t="s">
        <v>542</v>
      </c>
      <c r="C25" s="39" t="s">
        <v>30</v>
      </c>
      <c r="D25" s="37" t="s">
        <v>429</v>
      </c>
      <c r="E25" s="37" t="s">
        <v>103</v>
      </c>
      <c r="F25" s="40"/>
      <c r="G25" s="38"/>
      <c r="H25" s="18" t="s">
        <v>73</v>
      </c>
      <c r="I25" s="18" t="s">
        <v>73</v>
      </c>
      <c r="J25" s="18" t="s">
        <v>543</v>
      </c>
      <c r="K25" s="18" t="s">
        <v>73</v>
      </c>
      <c r="L25" s="18" t="s">
        <v>73</v>
      </c>
      <c r="M25" s="18" t="s">
        <v>96</v>
      </c>
      <c r="N25" s="18" t="s">
        <v>74</v>
      </c>
      <c r="O25" s="18" t="s">
        <v>75</v>
      </c>
      <c r="P25" s="19"/>
      <c r="Q25" s="18" t="n">
        <v>1</v>
      </c>
      <c r="R25" s="18" t="s">
        <v>540</v>
      </c>
      <c r="S25" s="41" t="s">
        <v>488</v>
      </c>
    </row>
    <row r="26" customFormat="false" ht="15" hidden="false" customHeight="false" outlineLevel="0" collapsed="false">
      <c r="A26" s="37" t="s">
        <v>544</v>
      </c>
      <c r="B26" s="38" t="s">
        <v>545</v>
      </c>
      <c r="C26" s="39" t="s">
        <v>30</v>
      </c>
      <c r="D26" s="37" t="s">
        <v>546</v>
      </c>
      <c r="E26" s="37" t="s">
        <v>103</v>
      </c>
      <c r="F26" s="40"/>
      <c r="G26" s="38" t="s">
        <v>547</v>
      </c>
      <c r="H26" s="18" t="s">
        <v>73</v>
      </c>
      <c r="I26" s="18" t="s">
        <v>73</v>
      </c>
      <c r="J26" s="18" t="s">
        <v>548</v>
      </c>
      <c r="K26" s="18" t="s">
        <v>73</v>
      </c>
      <c r="L26" s="18" t="s">
        <v>73</v>
      </c>
      <c r="M26" s="18" t="s">
        <v>74</v>
      </c>
      <c r="N26" s="18" t="s">
        <v>74</v>
      </c>
      <c r="O26" s="18" t="s">
        <v>75</v>
      </c>
      <c r="P26" s="19"/>
      <c r="Q26" s="18" t="n">
        <v>1</v>
      </c>
      <c r="R26" s="18" t="s">
        <v>540</v>
      </c>
      <c r="S26" s="41" t="s">
        <v>488</v>
      </c>
    </row>
    <row r="27" customFormat="false" ht="15" hidden="false" customHeight="false" outlineLevel="0" collapsed="false">
      <c r="A27" s="37" t="s">
        <v>549</v>
      </c>
      <c r="B27" s="38" t="s">
        <v>550</v>
      </c>
      <c r="C27" s="39" t="s">
        <v>30</v>
      </c>
      <c r="D27" s="37" t="s">
        <v>82</v>
      </c>
      <c r="E27" s="37" t="s">
        <v>103</v>
      </c>
      <c r="F27" s="40"/>
      <c r="G27" s="38"/>
      <c r="H27" s="18" t="s">
        <v>73</v>
      </c>
      <c r="I27" s="18" t="s">
        <v>73</v>
      </c>
      <c r="J27" s="18" t="s">
        <v>551</v>
      </c>
      <c r="K27" s="18" t="s">
        <v>73</v>
      </c>
      <c r="L27" s="18" t="s">
        <v>73</v>
      </c>
      <c r="M27" s="18" t="s">
        <v>74</v>
      </c>
      <c r="N27" s="18" t="s">
        <v>74</v>
      </c>
      <c r="O27" s="18" t="s">
        <v>75</v>
      </c>
      <c r="P27" s="19"/>
      <c r="Q27" s="18" t="n">
        <v>1</v>
      </c>
      <c r="R27" s="18" t="s">
        <v>540</v>
      </c>
      <c r="S27" s="41" t="s">
        <v>488</v>
      </c>
    </row>
    <row r="28" customFormat="false" ht="15" hidden="false" customHeight="false" outlineLevel="0" collapsed="false">
      <c r="A28" s="37" t="s">
        <v>552</v>
      </c>
      <c r="B28" s="38" t="s">
        <v>553</v>
      </c>
      <c r="C28" s="39" t="s">
        <v>30</v>
      </c>
      <c r="D28" s="37" t="s">
        <v>546</v>
      </c>
      <c r="E28" s="37" t="s">
        <v>69</v>
      </c>
      <c r="F28" s="40"/>
      <c r="G28" s="38" t="s">
        <v>554</v>
      </c>
      <c r="H28" s="18" t="s">
        <v>71</v>
      </c>
      <c r="I28" s="18" t="s">
        <v>555</v>
      </c>
      <c r="J28" s="18" t="s">
        <v>73</v>
      </c>
      <c r="K28" s="18" t="s">
        <v>73</v>
      </c>
      <c r="L28" s="18" t="s">
        <v>73</v>
      </c>
      <c r="M28" s="18" t="s">
        <v>74</v>
      </c>
      <c r="N28" s="18" t="s">
        <v>74</v>
      </c>
      <c r="O28" s="18" t="s">
        <v>75</v>
      </c>
      <c r="P28" s="19"/>
      <c r="Q28" s="18" t="n">
        <v>1</v>
      </c>
      <c r="R28" s="18" t="s">
        <v>487</v>
      </c>
      <c r="S28" s="41" t="s">
        <v>488</v>
      </c>
    </row>
    <row r="29" customFormat="false" ht="15" hidden="false" customHeight="false" outlineLevel="0" collapsed="false">
      <c r="A29" s="37" t="s">
        <v>556</v>
      </c>
      <c r="B29" s="38" t="s">
        <v>557</v>
      </c>
      <c r="C29" s="39" t="s">
        <v>33</v>
      </c>
      <c r="D29" s="37" t="s">
        <v>558</v>
      </c>
      <c r="E29" s="37" t="s">
        <v>69</v>
      </c>
      <c r="F29" s="40"/>
      <c r="G29" s="38" t="s">
        <v>559</v>
      </c>
      <c r="H29" s="18" t="s">
        <v>71</v>
      </c>
      <c r="I29" s="18" t="s">
        <v>555</v>
      </c>
      <c r="J29" s="18" t="s">
        <v>73</v>
      </c>
      <c r="K29" s="18" t="s">
        <v>73</v>
      </c>
      <c r="L29" s="18" t="s">
        <v>73</v>
      </c>
      <c r="M29" s="18" t="s">
        <v>74</v>
      </c>
      <c r="N29" s="18" t="s">
        <v>74</v>
      </c>
      <c r="O29" s="18" t="s">
        <v>75</v>
      </c>
      <c r="P29" s="19"/>
      <c r="Q29" s="18" t="n">
        <v>1</v>
      </c>
      <c r="R29" s="18" t="s">
        <v>487</v>
      </c>
      <c r="S29" s="41" t="s">
        <v>488</v>
      </c>
    </row>
    <row r="30" customFormat="false" ht="15" hidden="false" customHeight="false" outlineLevel="0" collapsed="false">
      <c r="A30" s="37" t="s">
        <v>560</v>
      </c>
      <c r="B30" s="38" t="s">
        <v>561</v>
      </c>
      <c r="C30" s="39" t="s">
        <v>36</v>
      </c>
      <c r="D30" s="37" t="s">
        <v>546</v>
      </c>
      <c r="E30" s="37" t="s">
        <v>103</v>
      </c>
      <c r="F30" s="40"/>
      <c r="G30" s="38" t="s">
        <v>562</v>
      </c>
      <c r="H30" s="18" t="s">
        <v>71</v>
      </c>
      <c r="I30" s="18" t="s">
        <v>555</v>
      </c>
      <c r="J30" s="18" t="s">
        <v>73</v>
      </c>
      <c r="K30" s="18" t="s">
        <v>73</v>
      </c>
      <c r="L30" s="18" t="s">
        <v>73</v>
      </c>
      <c r="M30" s="18" t="s">
        <v>74</v>
      </c>
      <c r="N30" s="18" t="s">
        <v>74</v>
      </c>
      <c r="O30" s="18" t="s">
        <v>75</v>
      </c>
      <c r="P30" s="19"/>
      <c r="Q30" s="18" t="n">
        <v>1</v>
      </c>
      <c r="R30" s="18" t="s">
        <v>487</v>
      </c>
      <c r="S30" s="41" t="s">
        <v>488</v>
      </c>
    </row>
    <row r="31" customFormat="false" ht="15" hidden="false" customHeight="false" outlineLevel="0" collapsed="false">
      <c r="A31" s="37" t="s">
        <v>563</v>
      </c>
      <c r="B31" s="38" t="s">
        <v>564</v>
      </c>
      <c r="C31" s="39" t="s">
        <v>30</v>
      </c>
      <c r="D31" s="37" t="s">
        <v>546</v>
      </c>
      <c r="E31" s="37" t="s">
        <v>103</v>
      </c>
      <c r="F31" s="40"/>
      <c r="G31" s="38" t="s">
        <v>554</v>
      </c>
      <c r="H31" s="18" t="s">
        <v>166</v>
      </c>
      <c r="I31" s="18" t="s">
        <v>555</v>
      </c>
      <c r="J31" s="18" t="s">
        <v>73</v>
      </c>
      <c r="K31" s="18" t="s">
        <v>73</v>
      </c>
      <c r="L31" s="18" t="s">
        <v>73</v>
      </c>
      <c r="M31" s="18" t="s">
        <v>74</v>
      </c>
      <c r="N31" s="18" t="s">
        <v>74</v>
      </c>
      <c r="O31" s="18" t="s">
        <v>75</v>
      </c>
      <c r="P31" s="19"/>
      <c r="Q31" s="18" t="n">
        <v>1</v>
      </c>
      <c r="R31" s="18" t="s">
        <v>487</v>
      </c>
      <c r="S31" s="41" t="s">
        <v>488</v>
      </c>
    </row>
    <row r="32" customFormat="false" ht="15" hidden="false" customHeight="false" outlineLevel="0" collapsed="false">
      <c r="A32" s="37" t="s">
        <v>565</v>
      </c>
      <c r="B32" s="38" t="s">
        <v>557</v>
      </c>
      <c r="C32" s="39" t="s">
        <v>33</v>
      </c>
      <c r="D32" s="37" t="s">
        <v>558</v>
      </c>
      <c r="E32" s="37" t="s">
        <v>69</v>
      </c>
      <c r="F32" s="40"/>
      <c r="G32" s="38" t="s">
        <v>559</v>
      </c>
      <c r="H32" s="18" t="s">
        <v>166</v>
      </c>
      <c r="I32" s="18" t="s">
        <v>555</v>
      </c>
      <c r="J32" s="18" t="s">
        <v>73</v>
      </c>
      <c r="K32" s="18" t="s">
        <v>73</v>
      </c>
      <c r="L32" s="18" t="s">
        <v>73</v>
      </c>
      <c r="M32" s="18" t="s">
        <v>74</v>
      </c>
      <c r="N32" s="18" t="s">
        <v>74</v>
      </c>
      <c r="O32" s="18" t="s">
        <v>75</v>
      </c>
      <c r="P32" s="19"/>
      <c r="Q32" s="18" t="n">
        <v>1</v>
      </c>
      <c r="R32" s="18" t="s">
        <v>487</v>
      </c>
      <c r="S32" s="41" t="s">
        <v>488</v>
      </c>
    </row>
    <row r="33" customFormat="false" ht="15" hidden="false" customHeight="false" outlineLevel="0" collapsed="false">
      <c r="A33" s="37" t="s">
        <v>566</v>
      </c>
      <c r="B33" s="38" t="s">
        <v>567</v>
      </c>
      <c r="C33" s="39" t="s">
        <v>33</v>
      </c>
      <c r="D33" s="37" t="s">
        <v>546</v>
      </c>
      <c r="E33" s="37" t="s">
        <v>103</v>
      </c>
      <c r="F33" s="40"/>
      <c r="G33" s="38"/>
      <c r="H33" s="18" t="s">
        <v>73</v>
      </c>
      <c r="I33" s="18" t="s">
        <v>568</v>
      </c>
      <c r="J33" s="18" t="s">
        <v>73</v>
      </c>
      <c r="K33" s="18" t="s">
        <v>73</v>
      </c>
      <c r="L33" s="18" t="s">
        <v>73</v>
      </c>
      <c r="M33" s="18" t="s">
        <v>74</v>
      </c>
      <c r="N33" s="18" t="s">
        <v>74</v>
      </c>
      <c r="O33" s="18" t="s">
        <v>75</v>
      </c>
      <c r="P33" s="19"/>
      <c r="Q33" s="18" t="n">
        <v>1</v>
      </c>
      <c r="R33" s="18" t="s">
        <v>507</v>
      </c>
      <c r="S33" s="41" t="s">
        <v>488</v>
      </c>
    </row>
  </sheetData>
  <dataValidations count="6">
    <dataValidation allowBlank="true" errorStyle="stop" operator="between" showDropDown="false" showErrorMessage="false" showInputMessage="false" sqref="H5:H134" type="list">
      <formula1>"ALL,Import,Export"</formula1>
      <formula2>0</formula2>
    </dataValidation>
    <dataValidation allowBlank="true" errorStyle="stop" operator="between" showDropDown="false" showErrorMessage="false" showInputMessage="false" sqref="I5:I134" type="list">
      <formula1>"ALL,FCL,LCL,FTL,LTL"</formula1>
      <formula2>0</formula2>
    </dataValidation>
    <dataValidation allowBlank="true" errorStyle="stop" operator="between" showDropDown="false" showErrorMessage="false" showInputMessage="false" sqref="J5:J134" type="list">
      <formula1>"ALL,Palletized,Loose,Mixed"</formula1>
      <formula2>0</formula2>
    </dataValidation>
    <dataValidation allowBlank="true" errorStyle="stop" operator="between" showDropDown="false" showErrorMessage="false" showInputMessage="false" sqref="K5:K134" type="list">
      <formula1>"ALL,General,Refrigerated,OOG,Dangerous,Other"</formula1>
      <formula2>0</formula2>
    </dataValidation>
    <dataValidation allowBlank="true" errorStyle="stop" operator="between" showDropDown="false" showErrorMessage="false" showInputMessage="false" sqref="M5:N134" type="list">
      <formula1>"Y,N"</formula1>
      <formula2>0</formula2>
    </dataValidation>
    <dataValidation allowBlank="true" errorStyle="stop" operator="between" showDropDown="false" showErrorMessage="false" showInputMessage="false" sqref="O5:O134" type="list">
      <formula1>"Auto,Editable"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42" t="s">
        <v>569</v>
      </c>
    </row>
    <row r="3" customFormat="false" ht="28.35" hidden="false" customHeight="false" outlineLevel="0" collapsed="false">
      <c r="A3" s="43" t="s">
        <v>570</v>
      </c>
      <c r="B3" s="44" t="s">
        <v>571</v>
      </c>
    </row>
    <row r="4" customFormat="false" ht="28.35" hidden="false" customHeight="false" outlineLevel="0" collapsed="false">
      <c r="A4" s="43" t="s">
        <v>572</v>
      </c>
      <c r="B4" s="44" t="s">
        <v>573</v>
      </c>
    </row>
    <row r="5" customFormat="false" ht="15" hidden="false" customHeight="false" outlineLevel="0" collapsed="false">
      <c r="A5" s="43" t="s">
        <v>574</v>
      </c>
      <c r="B5" s="44" t="s">
        <v>575</v>
      </c>
    </row>
    <row r="6" customFormat="false" ht="28.35" hidden="false" customHeight="false" outlineLevel="0" collapsed="false">
      <c r="A6" s="43" t="s">
        <v>576</v>
      </c>
      <c r="B6" s="44" t="s">
        <v>577</v>
      </c>
    </row>
    <row r="7" customFormat="false" ht="28.35" hidden="false" customHeight="false" outlineLevel="0" collapsed="false">
      <c r="A7" s="43" t="s">
        <v>61</v>
      </c>
      <c r="B7" s="44" t="s">
        <v>578</v>
      </c>
    </row>
    <row r="8" customFormat="false" ht="15" hidden="false" customHeight="false" outlineLevel="0" collapsed="false">
      <c r="A8" s="43" t="s">
        <v>62</v>
      </c>
      <c r="B8" s="44" t="s">
        <v>579</v>
      </c>
    </row>
    <row r="9" customFormat="false" ht="15" hidden="false" customHeight="false" outlineLevel="0" collapsed="false">
      <c r="A9" s="43" t="s">
        <v>63</v>
      </c>
      <c r="B9" s="44" t="s">
        <v>580</v>
      </c>
    </row>
    <row r="10" customFormat="false" ht="15" hidden="false" customHeight="false" outlineLevel="0" collapsed="false">
      <c r="A10" s="43" t="s">
        <v>64</v>
      </c>
      <c r="B10" s="44" t="s">
        <v>581</v>
      </c>
    </row>
    <row r="11" customFormat="false" ht="15" hidden="false" customHeight="false" outlineLevel="0" collapsed="false">
      <c r="A11" s="43" t="s">
        <v>65</v>
      </c>
      <c r="B11" s="44" t="s">
        <v>582</v>
      </c>
    </row>
    <row r="12" customFormat="false" ht="15" hidden="false" customHeight="false" outlineLevel="0" collapsed="false">
      <c r="A12" s="43" t="s">
        <v>583</v>
      </c>
      <c r="B12" s="44" t="s">
        <v>584</v>
      </c>
    </row>
    <row r="13" customFormat="false" ht="15" hidden="false" customHeight="false" outlineLevel="0" collapsed="false">
      <c r="A13" s="43" t="s">
        <v>585</v>
      </c>
      <c r="B13" s="44" t="s">
        <v>586</v>
      </c>
    </row>
    <row r="14" customFormat="false" ht="15" hidden="false" customHeight="false" outlineLevel="0" collapsed="false">
      <c r="A14" s="43" t="s">
        <v>587</v>
      </c>
      <c r="B14" s="44" t="s">
        <v>588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2026-10-21T10:41:55Z</dcterms:created>
  <dc:creator>openpyxl</dc:creator>
  <dc:description/>
  <dc:language>en-US</dc:language>
  <cp:lastModifiedBy>Sasco Global</cp:lastModifiedBy>
  <dcterms:modified xsi:type="dcterms:W3CDTF">2026-10-21T12:00:21Z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